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tl0018/Desktop/A_Proteomics_Analysis/A_YvO_2025/00_input/"/>
    </mc:Choice>
  </mc:AlternateContent>
  <xr:revisionPtr revIDLastSave="0" documentId="8_{1524F2B3-5623-704A-B9E4-628E00C50DBB}" xr6:coauthVersionLast="47" xr6:coauthVersionMax="47" xr10:uidLastSave="{00000000-0000-0000-0000-000000000000}"/>
  <bookViews>
    <workbookView xWindow="1500" yWindow="1320" windowWidth="27640" windowHeight="16940" xr2:uid="{91F403EB-94D4-C545-BE17-AE310F3A8810}"/>
  </bookViews>
  <sheets>
    <sheet name="Phenotype data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2" i="1" l="1"/>
  <c r="S42" i="1"/>
  <c r="Q42" i="1"/>
  <c r="P42" i="1"/>
  <c r="O42" i="1"/>
  <c r="M42" i="1"/>
  <c r="L42" i="1"/>
  <c r="B42" i="1"/>
  <c r="T41" i="1"/>
  <c r="S41" i="1"/>
  <c r="Q41" i="1"/>
  <c r="P41" i="1"/>
  <c r="O41" i="1"/>
  <c r="M41" i="1"/>
  <c r="L41" i="1"/>
  <c r="J41" i="1"/>
  <c r="I41" i="1"/>
  <c r="G41" i="1"/>
  <c r="F41" i="1"/>
  <c r="E41" i="1"/>
  <c r="B41" i="1"/>
  <c r="T40" i="1"/>
  <c r="S40" i="1"/>
  <c r="Q40" i="1"/>
  <c r="P40" i="1"/>
  <c r="O40" i="1"/>
  <c r="M40" i="1"/>
  <c r="L40" i="1"/>
  <c r="J40" i="1"/>
  <c r="I40" i="1"/>
  <c r="G40" i="1"/>
  <c r="F40" i="1"/>
  <c r="E40" i="1"/>
  <c r="B40" i="1"/>
  <c r="U36" i="1"/>
  <c r="R36" i="1"/>
  <c r="N36" i="1"/>
  <c r="K36" i="1"/>
  <c r="H36" i="1"/>
  <c r="U35" i="1"/>
  <c r="R35" i="1"/>
  <c r="N35" i="1"/>
  <c r="K35" i="1"/>
  <c r="H35" i="1"/>
  <c r="U34" i="1"/>
  <c r="R34" i="1"/>
  <c r="N34" i="1"/>
  <c r="K34" i="1"/>
  <c r="H34" i="1"/>
  <c r="U33" i="1"/>
  <c r="R33" i="1"/>
  <c r="N33" i="1"/>
  <c r="K33" i="1"/>
  <c r="H33" i="1"/>
  <c r="U32" i="1"/>
  <c r="R32" i="1"/>
  <c r="N32" i="1"/>
  <c r="K32" i="1"/>
  <c r="H32" i="1"/>
  <c r="U31" i="1"/>
  <c r="R31" i="1"/>
  <c r="N31" i="1"/>
  <c r="K31" i="1"/>
  <c r="H31" i="1"/>
  <c r="U30" i="1"/>
  <c r="R30" i="1"/>
  <c r="N30" i="1"/>
  <c r="K30" i="1"/>
  <c r="H30" i="1"/>
  <c r="U29" i="1"/>
  <c r="R29" i="1"/>
  <c r="N29" i="1"/>
  <c r="K29" i="1"/>
  <c r="H29" i="1"/>
  <c r="U28" i="1"/>
  <c r="R28" i="1"/>
  <c r="N28" i="1"/>
  <c r="K28" i="1"/>
  <c r="H28" i="1"/>
  <c r="N27" i="1"/>
  <c r="K27" i="1"/>
  <c r="H27" i="1"/>
  <c r="U26" i="1"/>
  <c r="R26" i="1"/>
  <c r="N26" i="1"/>
  <c r="N40" i="1" s="1"/>
  <c r="K26" i="1"/>
  <c r="H26" i="1"/>
  <c r="U25" i="1"/>
  <c r="R25" i="1"/>
  <c r="N25" i="1"/>
  <c r="N41" i="1" s="1"/>
  <c r="K25" i="1"/>
  <c r="K40" i="1" s="1"/>
  <c r="H25" i="1"/>
  <c r="U24" i="1"/>
  <c r="R24" i="1"/>
  <c r="N24" i="1"/>
  <c r="K24" i="1"/>
  <c r="K41" i="1" s="1"/>
  <c r="H24" i="1"/>
  <c r="H40" i="1" s="1"/>
  <c r="U23" i="1"/>
  <c r="U42" i="1" s="1"/>
  <c r="R23" i="1"/>
  <c r="R41" i="1" s="1"/>
  <c r="T20" i="1"/>
  <c r="S20" i="1"/>
  <c r="Q20" i="1"/>
  <c r="P20" i="1"/>
  <c r="O20" i="1"/>
  <c r="M20" i="1"/>
  <c r="L20" i="1"/>
  <c r="J20" i="1"/>
  <c r="I20" i="1"/>
  <c r="G20" i="1"/>
  <c r="F20" i="1"/>
  <c r="E20" i="1"/>
  <c r="B20" i="1"/>
  <c r="T19" i="1"/>
  <c r="S19" i="1"/>
  <c r="Q19" i="1"/>
  <c r="P19" i="1"/>
  <c r="O19" i="1"/>
  <c r="M19" i="1"/>
  <c r="L19" i="1"/>
  <c r="J19" i="1"/>
  <c r="I19" i="1"/>
  <c r="G19" i="1"/>
  <c r="F19" i="1"/>
  <c r="B19" i="1"/>
  <c r="T18" i="1"/>
  <c r="S18" i="1"/>
  <c r="Q18" i="1"/>
  <c r="P18" i="1"/>
  <c r="O18" i="1"/>
  <c r="M18" i="1"/>
  <c r="L18" i="1"/>
  <c r="J18" i="1"/>
  <c r="I18" i="1"/>
  <c r="G18" i="1"/>
  <c r="F18" i="1"/>
  <c r="E18" i="1"/>
  <c r="B18" i="1"/>
  <c r="T17" i="1"/>
  <c r="S17" i="1"/>
  <c r="Q17" i="1"/>
  <c r="P17" i="1"/>
  <c r="O17" i="1"/>
  <c r="M17" i="1"/>
  <c r="L17" i="1"/>
  <c r="J17" i="1"/>
  <c r="I17" i="1"/>
  <c r="G17" i="1"/>
  <c r="F17" i="1"/>
  <c r="E17" i="1"/>
  <c r="B17" i="1"/>
  <c r="K16" i="1"/>
  <c r="H16" i="1"/>
  <c r="H20" i="1" s="1"/>
  <c r="K15" i="1"/>
  <c r="H15" i="1"/>
  <c r="K14" i="1"/>
  <c r="H14" i="1"/>
  <c r="K13" i="1"/>
  <c r="H13" i="1"/>
  <c r="U12" i="1"/>
  <c r="R12" i="1"/>
  <c r="N12" i="1"/>
  <c r="K12" i="1"/>
  <c r="H12" i="1"/>
  <c r="U11" i="1"/>
  <c r="R11" i="1"/>
  <c r="N11" i="1"/>
  <c r="K11" i="1"/>
  <c r="H11" i="1"/>
  <c r="U10" i="1"/>
  <c r="R10" i="1"/>
  <c r="K10" i="1"/>
  <c r="H10" i="1"/>
  <c r="U9" i="1"/>
  <c r="R9" i="1"/>
  <c r="N9" i="1"/>
  <c r="K9" i="1"/>
  <c r="H9" i="1"/>
  <c r="U8" i="1"/>
  <c r="R8" i="1"/>
  <c r="K8" i="1"/>
  <c r="H8" i="1"/>
  <c r="U7" i="1"/>
  <c r="R7" i="1"/>
  <c r="N7" i="1"/>
  <c r="K7" i="1"/>
  <c r="H7" i="1"/>
  <c r="U6" i="1"/>
  <c r="R6" i="1"/>
  <c r="N6" i="1"/>
  <c r="K6" i="1"/>
  <c r="H6" i="1"/>
  <c r="U5" i="1"/>
  <c r="R5" i="1"/>
  <c r="N5" i="1"/>
  <c r="N18" i="1" s="1"/>
  <c r="K5" i="1"/>
  <c r="H5" i="1"/>
  <c r="N4" i="1"/>
  <c r="K4" i="1"/>
  <c r="H4" i="1"/>
  <c r="U3" i="1"/>
  <c r="R3" i="1"/>
  <c r="N3" i="1"/>
  <c r="K3" i="1"/>
  <c r="H3" i="1"/>
  <c r="U2" i="1"/>
  <c r="U20" i="1" s="1"/>
  <c r="R2" i="1"/>
  <c r="R20" i="1" s="1"/>
  <c r="N2" i="1"/>
  <c r="N17" i="1" s="1"/>
  <c r="K2" i="1"/>
  <c r="K18" i="1" s="1"/>
  <c r="H2" i="1"/>
  <c r="H19" i="1" s="1"/>
  <c r="N19" i="1" l="1"/>
  <c r="U41" i="1"/>
  <c r="U17" i="1"/>
  <c r="H17" i="1"/>
  <c r="R18" i="1"/>
  <c r="K20" i="1"/>
  <c r="H41" i="1"/>
  <c r="K17" i="1"/>
  <c r="U18" i="1"/>
  <c r="R19" i="1"/>
  <c r="N20" i="1"/>
  <c r="N42" i="1"/>
  <c r="H18" i="1"/>
  <c r="U19" i="1"/>
  <c r="R40" i="1"/>
  <c r="R17" i="1"/>
  <c r="K19" i="1"/>
  <c r="R42" i="1"/>
  <c r="U40" i="1"/>
</calcChain>
</file>

<file path=xl/sharedStrings.xml><?xml version="1.0" encoding="utf-8"?>
<sst xmlns="http://schemas.openxmlformats.org/spreadsheetml/2006/main" count="146" uniqueCount="65">
  <si>
    <t>Part#</t>
  </si>
  <si>
    <t>Age</t>
  </si>
  <si>
    <t>Supp group</t>
  </si>
  <si>
    <t>Sex</t>
  </si>
  <si>
    <t>BMI</t>
  </si>
  <si>
    <t>DXA LBM_kg_T1</t>
  </si>
  <si>
    <t>DXA LBM_kg_T2</t>
  </si>
  <si>
    <t>LBM_kg_change</t>
  </si>
  <si>
    <t>VL_thick_cm_T1</t>
  </si>
  <si>
    <t>VL_thick_cm_T2</t>
  </si>
  <si>
    <t>VL_Thick_Cm_Change</t>
  </si>
  <si>
    <t>PRE_deadlift_1rm_kg</t>
  </si>
  <si>
    <t>POST_deadlift_1rm_kg</t>
  </si>
  <si>
    <t>deadlift_1rm_diff_kg</t>
  </si>
  <si>
    <t>Total_Training_Volume_kg</t>
  </si>
  <si>
    <t>PRE_Type_I_fCSA</t>
  </si>
  <si>
    <t>POST_Type_I_fCSA</t>
  </si>
  <si>
    <t>Type_I_fCSA_change</t>
  </si>
  <si>
    <t>PRE_Type_II_fCSA</t>
  </si>
  <si>
    <t>POST_Type_II_fCSA</t>
  </si>
  <si>
    <t>Type_II_fCSA_change</t>
  </si>
  <si>
    <t>S05</t>
  </si>
  <si>
    <t>BRJ</t>
  </si>
  <si>
    <t>M</t>
  </si>
  <si>
    <t>S06</t>
  </si>
  <si>
    <t>S07</t>
  </si>
  <si>
    <t>PLA</t>
  </si>
  <si>
    <t>S10</t>
  </si>
  <si>
    <t>S16</t>
  </si>
  <si>
    <t>S17</t>
  </si>
  <si>
    <t>S24</t>
  </si>
  <si>
    <t>S28</t>
  </si>
  <si>
    <t>S29</t>
  </si>
  <si>
    <t>S32</t>
  </si>
  <si>
    <t>S35</t>
  </si>
  <si>
    <t>PPS17</t>
  </si>
  <si>
    <t>PPS6</t>
  </si>
  <si>
    <t>PP</t>
  </si>
  <si>
    <t>PPS11</t>
  </si>
  <si>
    <t>PPS12</t>
  </si>
  <si>
    <t>Mean</t>
  </si>
  <si>
    <t>Std Dev</t>
  </si>
  <si>
    <t>n-size</t>
  </si>
  <si>
    <t>T-test to Y</t>
  </si>
  <si>
    <t>EAA 01</t>
  </si>
  <si>
    <t>N/A</t>
  </si>
  <si>
    <t>EAA 05</t>
  </si>
  <si>
    <t>EAA 07</t>
  </si>
  <si>
    <t>EAA 10</t>
  </si>
  <si>
    <t>EAA 11</t>
  </si>
  <si>
    <t>EAA 16</t>
  </si>
  <si>
    <t>EAA 28</t>
  </si>
  <si>
    <t>EAA 30</t>
  </si>
  <si>
    <t>EAA 31</t>
  </si>
  <si>
    <t>EAA 32</t>
  </si>
  <si>
    <t>EAA 34</t>
  </si>
  <si>
    <t>EAA 35</t>
  </si>
  <si>
    <t>EAA 36</t>
  </si>
  <si>
    <t>EAA 40</t>
  </si>
  <si>
    <t>PPS_YS14</t>
  </si>
  <si>
    <t>C</t>
  </si>
  <si>
    <t>PPS_YS45</t>
  </si>
  <si>
    <t>PPS</t>
  </si>
  <si>
    <t>PPS_YS56</t>
  </si>
  <si>
    <t>indicates missing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</si>
</sst>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"/>
    <numFmt numFmtId="165" formatCode="_(* #,##0_);_(* \(#,##0\);_(* &quot;-&quot;??_);_(@_)"/>
    <numFmt numFmtId="166" formatCode="0.000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"/>
      <family val="2"/>
    </font>
    <font>
      <sz val="11"/>
      <color theme="1"/>
      <name val="Aptos"/>
      <family val="2"/>
    </font>
    <font>
      <sz val="11"/>
      <color rgb="FF000000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rgb="FFEE000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5">
    <xf numFmtId="0" fontId="0" fillId="0" borderId="0" xfId="0"/>
    <xf numFmtId="0" fontId="2" fillId="0" borderId="0" xfId="0" applyFont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2" fillId="0" borderId="0" xfId="0" applyFont="1"/>
    <xf numFmtId="0" fontId="3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2" fontId="3" fillId="0" borderId="2" xfId="0" applyNumberFormat="1" applyFont="1" applyBorder="1" applyAlignment="1">
      <alignment horizontal="center" wrapText="1"/>
    </xf>
    <xf numFmtId="2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1" fontId="3" fillId="0" borderId="2" xfId="0" applyNumberFormat="1" applyFont="1" applyBorder="1" applyAlignment="1">
      <alignment horizontal="center"/>
    </xf>
    <xf numFmtId="0" fontId="3" fillId="0" borderId="0" xfId="0" applyFont="1"/>
    <xf numFmtId="0" fontId="3" fillId="2" borderId="0" xfId="0" applyFont="1" applyFill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1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center"/>
    </xf>
    <xf numFmtId="2" fontId="2" fillId="0" borderId="2" xfId="0" applyNumberFormat="1" applyFont="1" applyBorder="1" applyAlignment="1">
      <alignment horizontal="center"/>
    </xf>
    <xf numFmtId="165" fontId="2" fillId="0" borderId="0" xfId="1" applyNumberFormat="1" applyFont="1" applyAlignment="1">
      <alignment horizontal="center"/>
    </xf>
    <xf numFmtId="1" fontId="2" fillId="0" borderId="2" xfId="0" applyNumberFormat="1" applyFont="1" applyBorder="1" applyAlignment="1">
      <alignment horizontal="center"/>
    </xf>
    <xf numFmtId="166" fontId="2" fillId="3" borderId="0" xfId="0" applyNumberFormat="1" applyFont="1" applyFill="1" applyAlignment="1">
      <alignment horizontal="center"/>
    </xf>
    <xf numFmtId="166" fontId="2" fillId="0" borderId="0" xfId="0" applyNumberFormat="1" applyFont="1" applyAlignment="1">
      <alignment horizontal="center"/>
    </xf>
    <xf numFmtId="166" fontId="2" fillId="3" borderId="3" xfId="0" applyNumberFormat="1" applyFont="1" applyFill="1" applyBorder="1" applyAlignment="1">
      <alignment horizontal="center"/>
    </xf>
    <xf numFmtId="164" fontId="4" fillId="0" borderId="0" xfId="0" applyNumberFormat="1" applyFont="1" applyAlignment="1">
      <alignment horizontal="center" wrapText="1"/>
    </xf>
    <xf numFmtId="164" fontId="3" fillId="0" borderId="0" xfId="0" applyNumberFormat="1" applyFont="1" applyAlignment="1">
      <alignment horizontal="center" wrapText="1"/>
    </xf>
    <xf numFmtId="0" fontId="3" fillId="0" borderId="2" xfId="0" applyFont="1" applyBorder="1" applyAlignment="1">
      <alignment horizontal="center"/>
    </xf>
    <xf numFmtId="0" fontId="4" fillId="0" borderId="0" xfId="0" applyFont="1" applyAlignment="1">
      <alignment horizontal="center" wrapText="1"/>
    </xf>
    <xf numFmtId="2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2" fontId="2" fillId="0" borderId="3" xfId="0" applyNumberFormat="1" applyFont="1" applyBorder="1" applyAlignment="1">
      <alignment horizontal="center"/>
    </xf>
    <xf numFmtId="1" fontId="2" fillId="0" borderId="3" xfId="0" applyNumberFormat="1" applyFont="1" applyBorder="1" applyAlignment="1">
      <alignment horizontal="center"/>
    </xf>
    <xf numFmtId="1" fontId="3" fillId="0" borderId="0" xfId="0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25F9F-9EAB-6344-8D50-C20CB5CAA0DD}">
  <dimension ref="A1:BC71"/>
  <sheetViews>
    <sheetView tabSelected="1" zoomScale="70" zoomScaleNormal="70" workbookViewId="0">
      <pane xSplit="1" topLeftCell="B1" activePane="topRight" state="frozen"/>
      <selection pane="topRight" activeCell="D12" sqref="D12"/>
    </sheetView>
  </sheetViews>
  <sheetFormatPr baseColWidth="10" defaultColWidth="17" defaultRowHeight="15" x14ac:dyDescent="0.2"/>
  <cols>
    <col min="1" max="1" width="19.6640625" style="10" customWidth="1"/>
    <col min="2" max="2" width="22.5" style="10" bestFit="1" customWidth="1"/>
    <col min="3" max="10" width="17" style="10"/>
    <col min="11" max="11" width="15.83203125" style="10" customWidth="1"/>
    <col min="12" max="12" width="15" style="10" customWidth="1"/>
    <col min="13" max="13" width="15.1640625" style="4" customWidth="1"/>
    <col min="14" max="14" width="15" style="10" customWidth="1"/>
    <col min="15" max="19" width="17" style="10"/>
    <col min="20" max="20" width="18.83203125" style="10" customWidth="1"/>
    <col min="21" max="16384" width="17" style="10"/>
  </cols>
  <sheetData>
    <row r="1" spans="1:21" s="3" customFormat="1" ht="3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2" t="s">
        <v>20</v>
      </c>
    </row>
    <row r="2" spans="1:21" x14ac:dyDescent="0.2">
      <c r="A2" s="4" t="s">
        <v>21</v>
      </c>
      <c r="B2" s="4">
        <v>42</v>
      </c>
      <c r="C2" s="4" t="s">
        <v>22</v>
      </c>
      <c r="D2" s="4" t="s">
        <v>23</v>
      </c>
      <c r="E2" s="4">
        <v>27</v>
      </c>
      <c r="F2" s="5">
        <v>56.336239351906457</v>
      </c>
      <c r="G2" s="5">
        <v>56.835191552285657</v>
      </c>
      <c r="H2" s="6">
        <f>G2-F2</f>
        <v>0.49895220037920041</v>
      </c>
      <c r="I2" s="7">
        <v>1.85</v>
      </c>
      <c r="J2" s="7">
        <v>2.21</v>
      </c>
      <c r="K2" s="6">
        <f t="shared" ref="K2:K10" si="0">J2-I2</f>
        <v>0.35999999999999988</v>
      </c>
      <c r="L2" s="8">
        <v>107.18400449964167</v>
      </c>
      <c r="M2" s="8">
        <v>117.38984496194357</v>
      </c>
      <c r="N2" s="8">
        <f>M2-L2</f>
        <v>10.205840462301893</v>
      </c>
      <c r="O2" s="8">
        <v>299211.65552340087</v>
      </c>
      <c r="P2" s="8">
        <v>6520</v>
      </c>
      <c r="Q2" s="8">
        <v>4805</v>
      </c>
      <c r="R2" s="9">
        <f>Q2-P2</f>
        <v>-1715</v>
      </c>
      <c r="S2" s="8">
        <v>6960</v>
      </c>
      <c r="T2" s="8">
        <v>4539</v>
      </c>
      <c r="U2" s="9">
        <f>T2-S2</f>
        <v>-2421</v>
      </c>
    </row>
    <row r="3" spans="1:21" x14ac:dyDescent="0.2">
      <c r="A3" s="4" t="s">
        <v>24</v>
      </c>
      <c r="B3" s="4">
        <v>55</v>
      </c>
      <c r="C3" s="4" t="s">
        <v>22</v>
      </c>
      <c r="D3" s="4" t="s">
        <v>23</v>
      </c>
      <c r="E3" s="4">
        <v>29.3</v>
      </c>
      <c r="F3" s="5">
        <v>60.600012700601468</v>
      </c>
      <c r="G3" s="5">
        <v>61.507198519472745</v>
      </c>
      <c r="H3" s="6">
        <f>G3-F3</f>
        <v>0.90718581887127669</v>
      </c>
      <c r="I3" s="7">
        <v>1.88</v>
      </c>
      <c r="J3" s="7">
        <v>2.11</v>
      </c>
      <c r="K3" s="6">
        <f t="shared" si="0"/>
        <v>0.22999999999999998</v>
      </c>
      <c r="L3" s="8">
        <v>66.360642650434102</v>
      </c>
      <c r="M3" s="8">
        <v>76.838638858397374</v>
      </c>
      <c r="N3" s="8">
        <f t="shared" ref="N3:N9" si="1">M3-L3</f>
        <v>10.477996207963272</v>
      </c>
      <c r="O3" s="8">
        <v>239630.86609030131</v>
      </c>
      <c r="P3" s="8">
        <v>4378</v>
      </c>
      <c r="Q3" s="8">
        <v>4655</v>
      </c>
      <c r="R3" s="9">
        <f t="shared" ref="R3:R10" si="2">Q3-P3</f>
        <v>277</v>
      </c>
      <c r="S3" s="8">
        <v>3990</v>
      </c>
      <c r="T3" s="8">
        <v>3521</v>
      </c>
      <c r="U3" s="9">
        <f t="shared" ref="U3:U10" si="3">T3-S3</f>
        <v>-469</v>
      </c>
    </row>
    <row r="4" spans="1:21" x14ac:dyDescent="0.2">
      <c r="A4" s="4" t="s">
        <v>25</v>
      </c>
      <c r="B4" s="4">
        <v>56</v>
      </c>
      <c r="C4" s="4" t="s">
        <v>26</v>
      </c>
      <c r="D4" s="4" t="s">
        <v>23</v>
      </c>
      <c r="E4" s="4">
        <v>34.200000000000003</v>
      </c>
      <c r="F4" s="5">
        <v>62.958695829666802</v>
      </c>
      <c r="G4" s="5">
        <v>66.224564777603405</v>
      </c>
      <c r="H4" s="6">
        <f>G4-F4</f>
        <v>3.2658689479366032</v>
      </c>
      <c r="I4" s="7">
        <v>1.51</v>
      </c>
      <c r="J4" s="7">
        <v>1.79</v>
      </c>
      <c r="K4" s="6">
        <f t="shared" si="0"/>
        <v>0.28000000000000003</v>
      </c>
      <c r="L4" s="8">
        <v>130.13580571708502</v>
      </c>
      <c r="M4" s="8">
        <v>132.67592600992464</v>
      </c>
      <c r="N4" s="8">
        <f t="shared" si="1"/>
        <v>2.5401202928396174</v>
      </c>
      <c r="O4" s="8">
        <v>323531.94654861157</v>
      </c>
      <c r="P4" s="11"/>
      <c r="Q4" s="11"/>
      <c r="R4" s="12"/>
      <c r="S4" s="11"/>
      <c r="T4" s="11"/>
      <c r="U4" s="12"/>
    </row>
    <row r="5" spans="1:21" x14ac:dyDescent="0.2">
      <c r="A5" s="4" t="s">
        <v>27</v>
      </c>
      <c r="B5" s="4">
        <v>53</v>
      </c>
      <c r="C5" s="4" t="s">
        <v>26</v>
      </c>
      <c r="D5" s="4" t="s">
        <v>23</v>
      </c>
      <c r="E5" s="4">
        <v>26.3</v>
      </c>
      <c r="F5" s="5">
        <v>69.944026634975643</v>
      </c>
      <c r="G5" s="5">
        <v>71.304805363282568</v>
      </c>
      <c r="H5" s="6">
        <f>G5-F5</f>
        <v>1.3607787283069257</v>
      </c>
      <c r="I5" s="7">
        <v>1.89</v>
      </c>
      <c r="J5" s="7">
        <v>2.02</v>
      </c>
      <c r="K5" s="6">
        <f t="shared" si="0"/>
        <v>0.13000000000000012</v>
      </c>
      <c r="L5" s="8">
        <v>153.08760693452842</v>
      </c>
      <c r="M5" s="8">
        <v>158.21320681115114</v>
      </c>
      <c r="N5" s="8">
        <f t="shared" si="1"/>
        <v>5.1255998766227151</v>
      </c>
      <c r="O5" s="8">
        <v>223120.99137266289</v>
      </c>
      <c r="P5" s="8">
        <v>6872</v>
      </c>
      <c r="Q5" s="8">
        <v>7849</v>
      </c>
      <c r="R5" s="9">
        <f t="shared" si="2"/>
        <v>977</v>
      </c>
      <c r="S5" s="8">
        <v>5188</v>
      </c>
      <c r="T5" s="8">
        <v>4945</v>
      </c>
      <c r="U5" s="9">
        <f t="shared" si="3"/>
        <v>-243</v>
      </c>
    </row>
    <row r="6" spans="1:21" x14ac:dyDescent="0.2">
      <c r="A6" s="4" t="s">
        <v>28</v>
      </c>
      <c r="B6" s="4">
        <v>64</v>
      </c>
      <c r="C6" s="4" t="s">
        <v>22</v>
      </c>
      <c r="D6" s="4" t="s">
        <v>23</v>
      </c>
      <c r="E6" s="4">
        <v>26</v>
      </c>
      <c r="F6" s="5">
        <v>54.476508423220331</v>
      </c>
      <c r="G6" s="5">
        <v>54.794023459825283</v>
      </c>
      <c r="H6" s="6">
        <f t="shared" ref="H6:H10" si="4">G6-F6</f>
        <v>0.31751503660495217</v>
      </c>
      <c r="I6" s="7">
        <v>2.12</v>
      </c>
      <c r="J6" s="7">
        <v>2.23</v>
      </c>
      <c r="K6" s="6">
        <f t="shared" si="0"/>
        <v>0.10999999999999988</v>
      </c>
      <c r="L6" s="8">
        <v>63.775163066650947</v>
      </c>
      <c r="M6" s="8">
        <v>81.646723698415158</v>
      </c>
      <c r="N6" s="8">
        <f t="shared" si="1"/>
        <v>17.871560631764211</v>
      </c>
      <c r="O6" s="8">
        <v>203657.31962877957</v>
      </c>
      <c r="P6" s="8">
        <v>6547</v>
      </c>
      <c r="Q6" s="8">
        <v>5296</v>
      </c>
      <c r="R6" s="9">
        <f t="shared" si="2"/>
        <v>-1251</v>
      </c>
      <c r="S6" s="8">
        <v>4244</v>
      </c>
      <c r="T6" s="8">
        <v>3652</v>
      </c>
      <c r="U6" s="9">
        <f t="shared" si="3"/>
        <v>-592</v>
      </c>
    </row>
    <row r="7" spans="1:21" x14ac:dyDescent="0.2">
      <c r="A7" s="4" t="s">
        <v>29</v>
      </c>
      <c r="B7" s="4">
        <v>69</v>
      </c>
      <c r="C7" s="4" t="s">
        <v>22</v>
      </c>
      <c r="D7" s="4" t="s">
        <v>23</v>
      </c>
      <c r="E7" s="4">
        <v>32.5</v>
      </c>
      <c r="F7" s="5">
        <v>61.416479937585621</v>
      </c>
      <c r="G7" s="5">
        <v>62.232947174569766</v>
      </c>
      <c r="H7" s="6">
        <f t="shared" si="4"/>
        <v>0.81646723698414547</v>
      </c>
      <c r="I7" s="7">
        <v>2.5299999999999998</v>
      </c>
      <c r="J7" s="7">
        <v>2.85</v>
      </c>
      <c r="K7" s="6">
        <f t="shared" si="0"/>
        <v>0.32000000000000028</v>
      </c>
      <c r="L7" s="8">
        <v>112.26424508532084</v>
      </c>
      <c r="M7" s="8">
        <v>81.646723698415158</v>
      </c>
      <c r="N7" s="8">
        <f t="shared" si="1"/>
        <v>-30.617521386905679</v>
      </c>
      <c r="O7" s="8">
        <v>242107.93696872934</v>
      </c>
      <c r="P7" s="8">
        <v>3853</v>
      </c>
      <c r="Q7" s="8">
        <v>3965</v>
      </c>
      <c r="R7" s="9">
        <f t="shared" si="2"/>
        <v>112</v>
      </c>
      <c r="S7" s="8">
        <v>3164</v>
      </c>
      <c r="T7" s="8">
        <v>3196</v>
      </c>
      <c r="U7" s="9">
        <f t="shared" si="3"/>
        <v>32</v>
      </c>
    </row>
    <row r="8" spans="1:21" x14ac:dyDescent="0.2">
      <c r="A8" s="4" t="s">
        <v>30</v>
      </c>
      <c r="B8" s="4">
        <v>60</v>
      </c>
      <c r="C8" s="4" t="s">
        <v>26</v>
      </c>
      <c r="D8" s="4" t="s">
        <v>23</v>
      </c>
      <c r="E8" s="4">
        <v>24.1</v>
      </c>
      <c r="F8" s="5">
        <v>44.361386542805569</v>
      </c>
      <c r="G8" s="5">
        <v>44.225308669974872</v>
      </c>
      <c r="H8" s="6">
        <f t="shared" si="4"/>
        <v>-0.13607787283069683</v>
      </c>
      <c r="I8" s="7">
        <v>1.57</v>
      </c>
      <c r="J8" s="7">
        <v>1.81</v>
      </c>
      <c r="K8" s="6">
        <f t="shared" si="0"/>
        <v>0.24</v>
      </c>
      <c r="L8" s="11"/>
      <c r="M8" s="11"/>
      <c r="N8" s="11"/>
      <c r="O8" s="8">
        <v>86021.173717012469</v>
      </c>
      <c r="P8" s="8">
        <v>4195</v>
      </c>
      <c r="Q8" s="8">
        <v>4432</v>
      </c>
      <c r="R8" s="9">
        <f t="shared" si="2"/>
        <v>237</v>
      </c>
      <c r="S8" s="8">
        <v>3067</v>
      </c>
      <c r="T8" s="8">
        <v>3335</v>
      </c>
      <c r="U8" s="9">
        <f t="shared" si="3"/>
        <v>268</v>
      </c>
    </row>
    <row r="9" spans="1:21" x14ac:dyDescent="0.2">
      <c r="A9" s="4" t="s">
        <v>31</v>
      </c>
      <c r="B9" s="4">
        <v>63</v>
      </c>
      <c r="C9" s="4" t="s">
        <v>26</v>
      </c>
      <c r="D9" s="4" t="s">
        <v>23</v>
      </c>
      <c r="E9" s="4">
        <v>31</v>
      </c>
      <c r="F9" s="5">
        <v>58.195970280592583</v>
      </c>
      <c r="G9" s="5">
        <v>59.73818617267375</v>
      </c>
      <c r="H9" s="6">
        <f t="shared" si="4"/>
        <v>1.5422158920811668</v>
      </c>
      <c r="I9" s="7">
        <v>2.35</v>
      </c>
      <c r="J9" s="7">
        <v>2.82</v>
      </c>
      <c r="K9" s="6">
        <f t="shared" si="0"/>
        <v>0.46999999999999975</v>
      </c>
      <c r="L9" s="8">
        <v>66.360642650434102</v>
      </c>
      <c r="M9" s="8">
        <v>102.05840462301894</v>
      </c>
      <c r="N9" s="8">
        <f t="shared" si="1"/>
        <v>35.697761972584843</v>
      </c>
      <c r="O9" s="8">
        <v>244238.91645725796</v>
      </c>
      <c r="P9" s="8">
        <v>6457</v>
      </c>
      <c r="Q9" s="8">
        <v>3172</v>
      </c>
      <c r="R9" s="9">
        <f t="shared" si="2"/>
        <v>-3285</v>
      </c>
      <c r="S9" s="8">
        <v>5663</v>
      </c>
      <c r="T9" s="8">
        <v>3658</v>
      </c>
      <c r="U9" s="9">
        <f t="shared" si="3"/>
        <v>-2005</v>
      </c>
    </row>
    <row r="10" spans="1:21" x14ac:dyDescent="0.2">
      <c r="A10" s="4" t="s">
        <v>32</v>
      </c>
      <c r="B10" s="4">
        <v>60</v>
      </c>
      <c r="C10" s="4" t="s">
        <v>26</v>
      </c>
      <c r="D10" s="4" t="s">
        <v>23</v>
      </c>
      <c r="E10" s="4">
        <v>25.1</v>
      </c>
      <c r="F10" s="5">
        <v>48.443722727726325</v>
      </c>
      <c r="G10" s="5">
        <v>48.307644854895635</v>
      </c>
      <c r="H10" s="6">
        <f t="shared" si="4"/>
        <v>-0.13607787283068973</v>
      </c>
      <c r="I10" s="7">
        <v>1.25</v>
      </c>
      <c r="J10" s="7">
        <v>1.5</v>
      </c>
      <c r="K10" s="6">
        <f t="shared" si="0"/>
        <v>0.25</v>
      </c>
      <c r="L10" s="11"/>
      <c r="M10" s="11"/>
      <c r="N10" s="11"/>
      <c r="O10" s="8">
        <v>119016.42913517977</v>
      </c>
      <c r="P10" s="8">
        <v>3051</v>
      </c>
      <c r="Q10" s="8">
        <v>2336</v>
      </c>
      <c r="R10" s="9">
        <f t="shared" si="2"/>
        <v>-715</v>
      </c>
      <c r="S10" s="8">
        <v>3300</v>
      </c>
      <c r="T10" s="8">
        <v>3710</v>
      </c>
      <c r="U10" s="9">
        <f t="shared" si="3"/>
        <v>410</v>
      </c>
    </row>
    <row r="11" spans="1:21" x14ac:dyDescent="0.2">
      <c r="A11" s="4" t="s">
        <v>33</v>
      </c>
      <c r="B11" s="4">
        <v>50</v>
      </c>
      <c r="C11" s="4" t="s">
        <v>22</v>
      </c>
      <c r="D11" s="4" t="s">
        <v>23</v>
      </c>
      <c r="E11" s="4">
        <v>30.5</v>
      </c>
      <c r="F11" s="5">
        <v>52.934292531139157</v>
      </c>
      <c r="G11" s="5">
        <v>53.841478350010441</v>
      </c>
      <c r="H11" s="6">
        <f>G11-F11</f>
        <v>0.9071858188712838</v>
      </c>
      <c r="I11" s="7">
        <v>2.5</v>
      </c>
      <c r="J11" s="7">
        <v>2.4500000000000002</v>
      </c>
      <c r="K11" s="6">
        <f>J11-I11</f>
        <v>-4.9999999999999822E-2</v>
      </c>
      <c r="L11" s="8">
        <v>81.646723698415158</v>
      </c>
      <c r="M11" s="8">
        <v>112.26424508532084</v>
      </c>
      <c r="N11" s="8">
        <f>M11-L11</f>
        <v>30.617521386905679</v>
      </c>
      <c r="O11" s="8">
        <v>269210.56690041826</v>
      </c>
      <c r="P11" s="8">
        <v>4784</v>
      </c>
      <c r="Q11" s="8">
        <v>4800</v>
      </c>
      <c r="R11" s="9">
        <f>Q11-P11</f>
        <v>16</v>
      </c>
      <c r="S11" s="8">
        <v>3893</v>
      </c>
      <c r="T11" s="8">
        <v>4879</v>
      </c>
      <c r="U11" s="9">
        <f>T11-S11</f>
        <v>986</v>
      </c>
    </row>
    <row r="12" spans="1:21" x14ac:dyDescent="0.2">
      <c r="A12" s="4" t="s">
        <v>34</v>
      </c>
      <c r="B12" s="4">
        <v>63</v>
      </c>
      <c r="C12" s="4" t="s">
        <v>22</v>
      </c>
      <c r="D12" s="4" t="s">
        <v>23</v>
      </c>
      <c r="E12" s="4">
        <v>26.3</v>
      </c>
      <c r="F12" s="5">
        <v>62.550462211174725</v>
      </c>
      <c r="G12" s="5">
        <v>64.95450463118361</v>
      </c>
      <c r="H12" s="6">
        <f>G12-F12</f>
        <v>2.404042420008885</v>
      </c>
      <c r="I12" s="7">
        <v>1.53</v>
      </c>
      <c r="J12" s="7">
        <v>1.74</v>
      </c>
      <c r="K12" s="6">
        <f>J12-I12</f>
        <v>0.20999999999999996</v>
      </c>
      <c r="L12" s="8">
        <v>81.646723698415158</v>
      </c>
      <c r="M12" s="8">
        <v>112.26424508532084</v>
      </c>
      <c r="N12" s="8">
        <f>M12-L12</f>
        <v>30.617521386905679</v>
      </c>
      <c r="O12" s="8">
        <v>223190.39108780652</v>
      </c>
      <c r="P12" s="8">
        <v>7122</v>
      </c>
      <c r="Q12" s="8">
        <v>5243</v>
      </c>
      <c r="R12" s="9">
        <f>Q12-P12</f>
        <v>-1879</v>
      </c>
      <c r="S12" s="8">
        <v>5944</v>
      </c>
      <c r="T12" s="8">
        <v>6162</v>
      </c>
      <c r="U12" s="9">
        <f>T12-S12</f>
        <v>218</v>
      </c>
    </row>
    <row r="13" spans="1:21" x14ac:dyDescent="0.2">
      <c r="A13" s="4" t="s">
        <v>35</v>
      </c>
      <c r="B13" s="4">
        <v>50</v>
      </c>
      <c r="C13" s="4" t="s">
        <v>26</v>
      </c>
      <c r="D13" s="4" t="s">
        <v>23</v>
      </c>
      <c r="E13" s="7">
        <v>28.825531184763641</v>
      </c>
      <c r="F13" s="7">
        <v>61.181818181818173</v>
      </c>
      <c r="G13" s="7">
        <v>63.590909090909086</v>
      </c>
      <c r="H13" s="6">
        <f t="shared" ref="H13:H16" si="5">G13-F13</f>
        <v>2.4090909090909136</v>
      </c>
      <c r="I13" s="4">
        <v>2.4900000000000002</v>
      </c>
      <c r="J13" s="4">
        <v>2.37</v>
      </c>
      <c r="K13" s="6">
        <f t="shared" ref="K13:K16" si="6">J13-I13</f>
        <v>-0.12000000000000011</v>
      </c>
      <c r="L13" s="11"/>
      <c r="M13" s="11"/>
      <c r="N13" s="11"/>
      <c r="O13" s="8">
        <v>193640.90909090909</v>
      </c>
      <c r="P13" s="11"/>
      <c r="Q13" s="11"/>
      <c r="R13" s="12"/>
      <c r="S13" s="11"/>
      <c r="T13" s="11"/>
      <c r="U13" s="12"/>
    </row>
    <row r="14" spans="1:21" x14ac:dyDescent="0.2">
      <c r="A14" s="4" t="s">
        <v>36</v>
      </c>
      <c r="B14" s="4">
        <v>57</v>
      </c>
      <c r="C14" s="4" t="s">
        <v>37</v>
      </c>
      <c r="D14" s="4" t="s">
        <v>23</v>
      </c>
      <c r="E14" s="7">
        <v>31.444048090897081</v>
      </c>
      <c r="F14" s="7">
        <v>57</v>
      </c>
      <c r="G14" s="7">
        <v>57.772727272727266</v>
      </c>
      <c r="H14" s="6">
        <f t="shared" si="5"/>
        <v>0.77272727272726627</v>
      </c>
      <c r="I14" s="4">
        <v>2.06</v>
      </c>
      <c r="J14" s="4">
        <v>2.23</v>
      </c>
      <c r="K14" s="6">
        <f t="shared" si="6"/>
        <v>0.16999999999999993</v>
      </c>
      <c r="L14" s="11"/>
      <c r="M14" s="11"/>
      <c r="N14" s="11"/>
      <c r="O14" s="8">
        <v>148013.63636363635</v>
      </c>
      <c r="P14" s="11"/>
      <c r="Q14" s="11"/>
      <c r="R14" s="12"/>
      <c r="S14" s="11"/>
      <c r="T14" s="11"/>
      <c r="U14" s="12"/>
    </row>
    <row r="15" spans="1:21" x14ac:dyDescent="0.2">
      <c r="A15" s="4" t="s">
        <v>38</v>
      </c>
      <c r="B15" s="4">
        <v>58</v>
      </c>
      <c r="C15" s="4" t="s">
        <v>37</v>
      </c>
      <c r="D15" s="4" t="s">
        <v>23</v>
      </c>
      <c r="E15" s="7">
        <v>28.796296296296294</v>
      </c>
      <c r="F15" s="7">
        <v>58.954545454545446</v>
      </c>
      <c r="G15" s="7">
        <v>61.136363636363633</v>
      </c>
      <c r="H15" s="6">
        <f t="shared" si="5"/>
        <v>2.181818181818187</v>
      </c>
      <c r="I15" s="4">
        <v>1.54</v>
      </c>
      <c r="J15" s="4">
        <v>1.7</v>
      </c>
      <c r="K15" s="6">
        <f t="shared" si="6"/>
        <v>0.15999999999999992</v>
      </c>
      <c r="L15" s="11"/>
      <c r="M15" s="11"/>
      <c r="N15" s="11"/>
      <c r="O15" s="8">
        <v>172510</v>
      </c>
      <c r="P15" s="11"/>
      <c r="Q15" s="11"/>
      <c r="R15" s="12"/>
      <c r="S15" s="11"/>
      <c r="T15" s="11"/>
      <c r="U15" s="12"/>
    </row>
    <row r="16" spans="1:21" x14ac:dyDescent="0.2">
      <c r="A16" s="4" t="s">
        <v>39</v>
      </c>
      <c r="B16" s="4">
        <v>63</v>
      </c>
      <c r="C16" s="4" t="s">
        <v>37</v>
      </c>
      <c r="D16" s="4" t="s">
        <v>23</v>
      </c>
      <c r="E16" s="7">
        <v>28.616024973985429</v>
      </c>
      <c r="F16" s="7">
        <v>64.909090909090907</v>
      </c>
      <c r="G16" s="7">
        <v>65.499999999999986</v>
      </c>
      <c r="H16" s="6">
        <f t="shared" si="5"/>
        <v>0.59090909090907928</v>
      </c>
      <c r="I16" s="4">
        <v>2.12</v>
      </c>
      <c r="J16" s="4">
        <v>2.4300000000000002</v>
      </c>
      <c r="K16" s="6">
        <f t="shared" si="6"/>
        <v>0.31000000000000005</v>
      </c>
      <c r="L16" s="11"/>
      <c r="M16" s="11"/>
      <c r="N16" s="11"/>
      <c r="O16" s="8">
        <v>191457.95454545456</v>
      </c>
      <c r="P16" s="11"/>
      <c r="Q16" s="11"/>
      <c r="R16" s="12"/>
      <c r="S16" s="11"/>
      <c r="T16" s="11"/>
      <c r="U16" s="12"/>
    </row>
    <row r="17" spans="1:55" x14ac:dyDescent="0.2">
      <c r="A17" s="13" t="s">
        <v>40</v>
      </c>
      <c r="B17" s="14">
        <f>AVERAGE(B2:B16)</f>
        <v>57.533333333333331</v>
      </c>
      <c r="E17" s="15">
        <f>AVERAGE(E2:E16)</f>
        <v>28.665460036396162</v>
      </c>
      <c r="F17" s="15">
        <f>AVERAGE(F2:F16)</f>
        <v>58.284216781123277</v>
      </c>
      <c r="G17" s="15">
        <f>AVERAGE(G2:G16)</f>
        <v>59.464390235051845</v>
      </c>
      <c r="H17" s="16">
        <f t="shared" ref="H17:U17" si="7">AVERAGE(H2:H16)</f>
        <v>1.1801734539285667</v>
      </c>
      <c r="I17" s="17">
        <f>AVERAGE(I2:I16)</f>
        <v>1.946</v>
      </c>
      <c r="J17" s="17">
        <f>AVERAGE(J2:J16)</f>
        <v>2.1506666666666665</v>
      </c>
      <c r="K17" s="18">
        <f t="shared" si="7"/>
        <v>0.20466666666666666</v>
      </c>
      <c r="L17" s="14">
        <f t="shared" si="7"/>
        <v>95.829062000102823</v>
      </c>
      <c r="M17" s="14">
        <f t="shared" si="7"/>
        <v>108.33310653687862</v>
      </c>
      <c r="N17" s="14">
        <f t="shared" si="7"/>
        <v>12.504044536775803</v>
      </c>
      <c r="O17" s="19">
        <f t="shared" si="7"/>
        <v>211904.04622867735</v>
      </c>
      <c r="P17" s="14">
        <f t="shared" si="7"/>
        <v>5377.9</v>
      </c>
      <c r="Q17" s="14">
        <f t="shared" si="7"/>
        <v>4655.3</v>
      </c>
      <c r="R17" s="20">
        <f t="shared" si="7"/>
        <v>-722.6</v>
      </c>
      <c r="S17" s="14">
        <f t="shared" si="7"/>
        <v>4541.3</v>
      </c>
      <c r="T17" s="14">
        <f t="shared" si="7"/>
        <v>4159.7</v>
      </c>
      <c r="U17" s="20">
        <f t="shared" si="7"/>
        <v>-381.6</v>
      </c>
    </row>
    <row r="18" spans="1:55" x14ac:dyDescent="0.2">
      <c r="A18" s="13" t="s">
        <v>41</v>
      </c>
      <c r="B18" s="14">
        <f>STDEV(B2:B16)</f>
        <v>6.8646783991538367</v>
      </c>
      <c r="E18" s="15">
        <f>STDEV(E2:E16)</f>
        <v>2.890180266855491</v>
      </c>
      <c r="F18" s="15">
        <f>STDEV(F2:F16)</f>
        <v>6.4540331733826166</v>
      </c>
      <c r="G18" s="15">
        <f>STDEV(G2:G16)</f>
        <v>7.0917878539821952</v>
      </c>
      <c r="H18" s="16">
        <f t="shared" ref="H18:U18" si="8">STDEV(H2:H16)</f>
        <v>0.99975185658094989</v>
      </c>
      <c r="I18" s="17">
        <f>STDEV(I2:I16)</f>
        <v>0.40980483159670106</v>
      </c>
      <c r="J18" s="17">
        <f>STDEV(J2:J16)</f>
        <v>0.39900710102285969</v>
      </c>
      <c r="K18" s="18">
        <f t="shared" si="8"/>
        <v>0.15037413658066651</v>
      </c>
      <c r="L18" s="14">
        <f t="shared" si="8"/>
        <v>31.664350910885631</v>
      </c>
      <c r="M18" s="14">
        <f t="shared" si="8"/>
        <v>26.57331582434648</v>
      </c>
      <c r="N18" s="14">
        <f t="shared" si="8"/>
        <v>20.141785354622101</v>
      </c>
      <c r="O18" s="19">
        <f t="shared" si="8"/>
        <v>63961.660728376497</v>
      </c>
      <c r="P18" s="14">
        <f t="shared" si="8"/>
        <v>1475.7829146290819</v>
      </c>
      <c r="Q18" s="14">
        <f t="shared" si="8"/>
        <v>1456.9627502292415</v>
      </c>
      <c r="R18" s="20">
        <f t="shared" si="8"/>
        <v>1300.3433905447182</v>
      </c>
      <c r="S18" s="14">
        <f t="shared" si="8"/>
        <v>1329.914871962362</v>
      </c>
      <c r="T18" s="14">
        <f t="shared" si="8"/>
        <v>943.73019331680655</v>
      </c>
      <c r="U18" s="20">
        <f t="shared" si="8"/>
        <v>1070.5773312667434</v>
      </c>
    </row>
    <row r="19" spans="1:55" x14ac:dyDescent="0.2">
      <c r="A19" s="13" t="s">
        <v>42</v>
      </c>
      <c r="B19" s="14">
        <f>COUNT(B2:B16)</f>
        <v>15</v>
      </c>
      <c r="E19" s="14"/>
      <c r="F19" s="14">
        <f>COUNT(F2:F16)</f>
        <v>15</v>
      </c>
      <c r="G19" s="14">
        <f>COUNT(G2:G16)</f>
        <v>15</v>
      </c>
      <c r="H19" s="20">
        <f t="shared" ref="H19:U19" si="9">COUNT(H2:H16)</f>
        <v>15</v>
      </c>
      <c r="I19" s="14">
        <f>COUNT(I2:I16)</f>
        <v>15</v>
      </c>
      <c r="J19" s="14">
        <f>COUNT(J2:J16)</f>
        <v>15</v>
      </c>
      <c r="K19" s="20">
        <f t="shared" si="9"/>
        <v>15</v>
      </c>
      <c r="L19" s="14">
        <f t="shared" si="9"/>
        <v>9</v>
      </c>
      <c r="M19" s="14">
        <f t="shared" si="9"/>
        <v>9</v>
      </c>
      <c r="N19" s="14">
        <f t="shared" si="9"/>
        <v>9</v>
      </c>
      <c r="O19" s="14">
        <f t="shared" si="9"/>
        <v>15</v>
      </c>
      <c r="P19" s="14">
        <f t="shared" si="9"/>
        <v>10</v>
      </c>
      <c r="Q19" s="14">
        <f t="shared" si="9"/>
        <v>10</v>
      </c>
      <c r="R19" s="20">
        <f t="shared" si="9"/>
        <v>10</v>
      </c>
      <c r="S19" s="14">
        <f t="shared" si="9"/>
        <v>10</v>
      </c>
      <c r="T19" s="14">
        <f t="shared" si="9"/>
        <v>10</v>
      </c>
      <c r="U19" s="20">
        <f t="shared" si="9"/>
        <v>10</v>
      </c>
    </row>
    <row r="20" spans="1:55" x14ac:dyDescent="0.2">
      <c r="A20" s="3" t="s">
        <v>43</v>
      </c>
      <c r="B20" s="21">
        <f>TTEST(B2:B16,B23:B39,2,2)</f>
        <v>7.2070052230047677E-19</v>
      </c>
      <c r="E20" s="21">
        <f>TTEST(E2:E16,E23:E39,2,2)</f>
        <v>2.8404606195954214E-4</v>
      </c>
      <c r="F20" s="22">
        <f>TTEST(F2:F16,F23:F39,2,2)</f>
        <v>0.43086581672392832</v>
      </c>
      <c r="G20" s="22">
        <f>TTEST(G2:G16,G23:G39,2,2)</f>
        <v>0.94446505583287987</v>
      </c>
      <c r="H20" s="23">
        <f t="shared" ref="H20:U20" si="10">TTEST(H2:H16,H23:H39,2,2)</f>
        <v>1.0104674073551196E-2</v>
      </c>
      <c r="I20" s="22">
        <f>TTEST(I2:I16,I23:I39,2,2)</f>
        <v>0.45900668618658036</v>
      </c>
      <c r="J20" s="21">
        <f>TTEST(J2:J16,J23:J39,2,2)</f>
        <v>1.0696130389921399E-2</v>
      </c>
      <c r="K20" s="23">
        <f t="shared" si="10"/>
        <v>1.9563943873756227E-3</v>
      </c>
      <c r="L20" s="22">
        <f t="shared" si="10"/>
        <v>0.67811259238197008</v>
      </c>
      <c r="M20" s="21">
        <f t="shared" si="10"/>
        <v>2.4622547206124803E-2</v>
      </c>
      <c r="N20" s="21">
        <f t="shared" si="10"/>
        <v>8.280477323491472E-4</v>
      </c>
      <c r="O20" s="22">
        <f t="shared" si="10"/>
        <v>0.76469320127495966</v>
      </c>
      <c r="P20" s="22">
        <f t="shared" si="10"/>
        <v>0.12181242033664966</v>
      </c>
      <c r="Q20" s="22">
        <f t="shared" si="10"/>
        <v>0.45564732206836345</v>
      </c>
      <c r="R20" s="23">
        <f t="shared" si="10"/>
        <v>8.2803383901747431E-3</v>
      </c>
      <c r="S20" s="22">
        <f t="shared" si="10"/>
        <v>0.17608039507844572</v>
      </c>
      <c r="T20" s="21">
        <f t="shared" si="10"/>
        <v>5.3405745535152005E-4</v>
      </c>
      <c r="U20" s="23">
        <f t="shared" si="10"/>
        <v>3.4900502490353468E-3</v>
      </c>
    </row>
    <row r="21" spans="1:55" x14ac:dyDescent="0.2">
      <c r="M21" s="10"/>
      <c r="O21" s="4"/>
    </row>
    <row r="22" spans="1:55" ht="32" x14ac:dyDescent="0.2">
      <c r="A22" s="1" t="s">
        <v>0</v>
      </c>
      <c r="B22" s="1" t="s">
        <v>1</v>
      </c>
      <c r="C22" s="1" t="s">
        <v>2</v>
      </c>
      <c r="D22" s="1" t="s">
        <v>3</v>
      </c>
      <c r="E22" s="1" t="s">
        <v>4</v>
      </c>
      <c r="F22" s="1" t="s">
        <v>5</v>
      </c>
      <c r="G22" s="1" t="s">
        <v>6</v>
      </c>
      <c r="H22" s="2" t="s">
        <v>7</v>
      </c>
      <c r="I22" s="1" t="s">
        <v>8</v>
      </c>
      <c r="J22" s="1" t="s">
        <v>9</v>
      </c>
      <c r="K22" s="2" t="s">
        <v>10</v>
      </c>
      <c r="L22" s="1" t="s">
        <v>11</v>
      </c>
      <c r="M22" s="1" t="s">
        <v>12</v>
      </c>
      <c r="N22" s="1" t="s">
        <v>13</v>
      </c>
      <c r="O22" s="1" t="s">
        <v>14</v>
      </c>
      <c r="P22" s="1" t="s">
        <v>15</v>
      </c>
      <c r="Q22" s="1" t="s">
        <v>16</v>
      </c>
      <c r="R22" s="2" t="s">
        <v>17</v>
      </c>
      <c r="S22" s="1" t="s">
        <v>18</v>
      </c>
      <c r="T22" s="1" t="s">
        <v>19</v>
      </c>
      <c r="U22" s="2" t="s">
        <v>17</v>
      </c>
    </row>
    <row r="23" spans="1:55" x14ac:dyDescent="0.2">
      <c r="A23" s="4" t="s">
        <v>44</v>
      </c>
      <c r="B23" s="8">
        <v>26</v>
      </c>
      <c r="C23" s="8" t="s">
        <v>45</v>
      </c>
      <c r="D23" s="4" t="s">
        <v>23</v>
      </c>
      <c r="E23" s="24">
        <v>31.142485285881985</v>
      </c>
      <c r="F23" s="25">
        <v>64.400000000000006</v>
      </c>
      <c r="G23" s="25">
        <v>68.099999999999994</v>
      </c>
      <c r="H23" s="26">
        <v>3.6999999999999886</v>
      </c>
      <c r="I23" s="4">
        <v>1.64</v>
      </c>
      <c r="J23" s="4">
        <v>2.52</v>
      </c>
      <c r="K23" s="26">
        <v>0.88000000000000012</v>
      </c>
      <c r="L23" s="8">
        <v>88.475499092558977</v>
      </c>
      <c r="M23" s="8">
        <v>117.05989110707803</v>
      </c>
      <c r="N23" s="8">
        <v>28.584392014519054</v>
      </c>
      <c r="O23" s="8">
        <v>231992.18</v>
      </c>
      <c r="P23" s="8">
        <v>5406.3669695438584</v>
      </c>
      <c r="Q23" s="8">
        <v>7351.5473272195113</v>
      </c>
      <c r="R23" s="9">
        <f>Q23-P23</f>
        <v>1945.1803576756529</v>
      </c>
      <c r="S23" s="8">
        <v>6734.2054170666661</v>
      </c>
      <c r="T23" s="8">
        <v>9722.0354135813941</v>
      </c>
      <c r="U23" s="9">
        <f>T23-S23</f>
        <v>2987.829996514728</v>
      </c>
    </row>
    <row r="24" spans="1:55" ht="16" x14ac:dyDescent="0.2">
      <c r="A24" s="27" t="s">
        <v>46</v>
      </c>
      <c r="B24" s="8">
        <v>24</v>
      </c>
      <c r="C24" s="8" t="s">
        <v>45</v>
      </c>
      <c r="D24" s="4" t="s">
        <v>23</v>
      </c>
      <c r="E24" s="24">
        <v>21.885128141422999</v>
      </c>
      <c r="F24" s="25">
        <v>51.3</v>
      </c>
      <c r="G24" s="25">
        <v>54.9</v>
      </c>
      <c r="H24" s="6">
        <f t="shared" ref="H24:H36" si="11">G24-F24</f>
        <v>3.6000000000000014</v>
      </c>
      <c r="I24" s="28">
        <v>1.92</v>
      </c>
      <c r="J24" s="28">
        <v>2.5099999999999998</v>
      </c>
      <c r="K24" s="6">
        <f t="shared" ref="K24:K36" si="12">J24-I24</f>
        <v>0.58999999999999986</v>
      </c>
      <c r="L24" s="8">
        <v>90.290381125226858</v>
      </c>
      <c r="M24" s="8">
        <v>134.30127041742287</v>
      </c>
      <c r="N24" s="8">
        <f>M24-L24</f>
        <v>44.010889292196012</v>
      </c>
      <c r="O24" s="8">
        <v>204730.02</v>
      </c>
      <c r="P24" s="8">
        <v>3199.0951149589032</v>
      </c>
      <c r="Q24" s="8">
        <v>5529.7308820645158</v>
      </c>
      <c r="R24" s="9">
        <f>Q24-P24</f>
        <v>2330.6357671056126</v>
      </c>
      <c r="S24" s="8">
        <v>3048.4416738543041</v>
      </c>
      <c r="T24" s="8">
        <v>5866.674688500002</v>
      </c>
      <c r="U24" s="9">
        <f t="shared" ref="U24:U36" si="13">T24-S24</f>
        <v>2818.2330146456979</v>
      </c>
    </row>
    <row r="25" spans="1:55" x14ac:dyDescent="0.2">
      <c r="A25" s="4" t="s">
        <v>47</v>
      </c>
      <c r="B25" s="4">
        <v>23</v>
      </c>
      <c r="C25" s="8" t="s">
        <v>45</v>
      </c>
      <c r="D25" s="4" t="s">
        <v>23</v>
      </c>
      <c r="E25" s="5">
        <v>22.241257088493381</v>
      </c>
      <c r="F25" s="25">
        <v>60.4</v>
      </c>
      <c r="G25" s="25">
        <v>60.3</v>
      </c>
      <c r="H25" s="6">
        <f t="shared" si="11"/>
        <v>-0.10000000000000142</v>
      </c>
      <c r="I25" s="28">
        <v>2.92</v>
      </c>
      <c r="J25" s="28">
        <v>3</v>
      </c>
      <c r="K25" s="6">
        <f t="shared" si="12"/>
        <v>8.0000000000000071E-2</v>
      </c>
      <c r="L25" s="8">
        <v>117.05989110707803</v>
      </c>
      <c r="M25" s="8">
        <v>146.55172413793102</v>
      </c>
      <c r="N25" s="8">
        <f>M25-L25</f>
        <v>29.491833030852987</v>
      </c>
      <c r="O25" s="8">
        <v>208856.64</v>
      </c>
      <c r="P25" s="8">
        <v>5607.234954754098</v>
      </c>
      <c r="Q25" s="8">
        <v>5640.9860278857122</v>
      </c>
      <c r="R25" s="9">
        <f t="shared" ref="R25:R26" si="14">Q25-P25</f>
        <v>33.751073131614248</v>
      </c>
      <c r="S25" s="29">
        <v>6450.1332805423717</v>
      </c>
      <c r="T25" s="29">
        <v>8897.2228726153844</v>
      </c>
      <c r="U25" s="9">
        <f t="shared" si="13"/>
        <v>2447.0895920730127</v>
      </c>
    </row>
    <row r="26" spans="1:55" ht="16" x14ac:dyDescent="0.2">
      <c r="A26" s="27" t="s">
        <v>48</v>
      </c>
      <c r="B26" s="8">
        <v>22</v>
      </c>
      <c r="C26" s="8" t="s">
        <v>45</v>
      </c>
      <c r="D26" s="4" t="s">
        <v>23</v>
      </c>
      <c r="E26" s="24">
        <v>20.655928316433126</v>
      </c>
      <c r="F26" s="25">
        <v>47.1</v>
      </c>
      <c r="G26" s="25">
        <v>48.1</v>
      </c>
      <c r="H26" s="6">
        <f t="shared" si="11"/>
        <v>1</v>
      </c>
      <c r="I26" s="28">
        <v>1.1299999999999999</v>
      </c>
      <c r="J26" s="28">
        <v>2.1</v>
      </c>
      <c r="K26" s="6">
        <f t="shared" si="12"/>
        <v>0.9700000000000002</v>
      </c>
      <c r="L26" s="8">
        <v>70.780399274047184</v>
      </c>
      <c r="M26" s="8">
        <v>92.558983666061692</v>
      </c>
      <c r="N26" s="8">
        <f>M26-L26</f>
        <v>21.778584392014508</v>
      </c>
      <c r="O26" s="8">
        <v>141920.48000000001</v>
      </c>
      <c r="P26" s="8">
        <v>3254.8959227368409</v>
      </c>
      <c r="Q26" s="8">
        <v>2725.2309212121204</v>
      </c>
      <c r="R26" s="9">
        <f t="shared" si="14"/>
        <v>-529.66500152472054</v>
      </c>
      <c r="S26" s="8">
        <v>4096.5714387070684</v>
      </c>
      <c r="T26" s="8">
        <v>4983.7363558991592</v>
      </c>
      <c r="U26" s="9">
        <f t="shared" si="13"/>
        <v>887.1649171920908</v>
      </c>
    </row>
    <row r="27" spans="1:55" x14ac:dyDescent="0.2">
      <c r="A27" s="4" t="s">
        <v>49</v>
      </c>
      <c r="B27" s="8">
        <v>20</v>
      </c>
      <c r="C27" s="8" t="s">
        <v>45</v>
      </c>
      <c r="D27" s="4" t="s">
        <v>23</v>
      </c>
      <c r="E27" s="24">
        <v>22.427004893031921</v>
      </c>
      <c r="F27" s="25">
        <v>56.4</v>
      </c>
      <c r="G27" s="25">
        <v>58.6</v>
      </c>
      <c r="H27" s="6">
        <f t="shared" si="11"/>
        <v>2.2000000000000028</v>
      </c>
      <c r="I27" s="30">
        <v>2.0299999999999998</v>
      </c>
      <c r="J27" s="30">
        <v>2.46</v>
      </c>
      <c r="K27" s="31">
        <f t="shared" si="12"/>
        <v>0.43000000000000016</v>
      </c>
      <c r="L27" s="8">
        <v>106.62431941923774</v>
      </c>
      <c r="M27" s="8">
        <v>136.11615245009074</v>
      </c>
      <c r="N27" s="8">
        <f t="shared" ref="N27:N36" si="15">M27-L27</f>
        <v>29.491833030853002</v>
      </c>
      <c r="O27" s="8">
        <v>229441.44</v>
      </c>
      <c r="P27" s="11"/>
      <c r="Q27" s="11"/>
      <c r="R27" s="12"/>
      <c r="S27" s="11"/>
      <c r="T27" s="11"/>
      <c r="U27" s="12"/>
    </row>
    <row r="28" spans="1:55" ht="16" x14ac:dyDescent="0.2">
      <c r="A28" s="27" t="s">
        <v>50</v>
      </c>
      <c r="B28" s="8">
        <v>22</v>
      </c>
      <c r="C28" s="8" t="s">
        <v>45</v>
      </c>
      <c r="D28" s="4" t="s">
        <v>23</v>
      </c>
      <c r="E28" s="24">
        <v>22.126668457346938</v>
      </c>
      <c r="F28" s="25">
        <v>53.9</v>
      </c>
      <c r="G28" s="25">
        <v>55.6</v>
      </c>
      <c r="H28" s="6">
        <f t="shared" si="11"/>
        <v>1.7000000000000028</v>
      </c>
      <c r="I28" s="28">
        <v>1.82</v>
      </c>
      <c r="J28" s="28">
        <v>2.62</v>
      </c>
      <c r="K28" s="6">
        <f t="shared" si="12"/>
        <v>0.8</v>
      </c>
      <c r="L28" s="8">
        <v>99.818511796733205</v>
      </c>
      <c r="M28" s="8">
        <v>127.04174228675134</v>
      </c>
      <c r="N28" s="8">
        <f t="shared" si="15"/>
        <v>27.223230490018139</v>
      </c>
      <c r="O28" s="8">
        <v>231479.16</v>
      </c>
      <c r="P28" s="8">
        <v>5040.4170225454545</v>
      </c>
      <c r="Q28" s="8">
        <v>5464.6645217391297</v>
      </c>
      <c r="R28" s="9">
        <f t="shared" ref="R28:R36" si="16">Q28-P28</f>
        <v>424.24749919367514</v>
      </c>
      <c r="S28" s="8">
        <v>5586.4443180799981</v>
      </c>
      <c r="T28" s="8">
        <v>6884.1318383999997</v>
      </c>
      <c r="U28" s="9">
        <f t="shared" si="13"/>
        <v>1297.6875203200016</v>
      </c>
      <c r="V28" s="4"/>
      <c r="W28" s="4"/>
      <c r="X28" s="4"/>
      <c r="Y28" s="4"/>
      <c r="Z28" s="4"/>
      <c r="AA28" s="4"/>
      <c r="AD28" s="4"/>
      <c r="AE28" s="4"/>
      <c r="AF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</row>
    <row r="29" spans="1:55" ht="16" x14ac:dyDescent="0.2">
      <c r="A29" s="27" t="s">
        <v>51</v>
      </c>
      <c r="B29" s="8">
        <v>26</v>
      </c>
      <c r="C29" s="8" t="s">
        <v>45</v>
      </c>
      <c r="D29" s="4" t="s">
        <v>23</v>
      </c>
      <c r="E29" s="24">
        <v>24.212293384146335</v>
      </c>
      <c r="F29" s="25">
        <v>49.2</v>
      </c>
      <c r="G29" s="25">
        <v>51.2</v>
      </c>
      <c r="H29" s="6">
        <f t="shared" si="11"/>
        <v>2</v>
      </c>
      <c r="I29" s="28">
        <v>1.99</v>
      </c>
      <c r="J29" s="28">
        <v>2.48</v>
      </c>
      <c r="K29" s="6">
        <f t="shared" si="12"/>
        <v>0.49</v>
      </c>
      <c r="L29" s="8">
        <v>79.401088929219597</v>
      </c>
      <c r="M29" s="8">
        <v>119.32849364791288</v>
      </c>
      <c r="N29" s="8">
        <f t="shared" si="15"/>
        <v>39.927404718693282</v>
      </c>
      <c r="O29" s="8">
        <v>188532.28</v>
      </c>
      <c r="P29" s="8">
        <v>4189.9366798688525</v>
      </c>
      <c r="Q29" s="8">
        <v>5345.1866858666663</v>
      </c>
      <c r="R29" s="9">
        <f t="shared" si="16"/>
        <v>1155.2500059978138</v>
      </c>
      <c r="S29" s="8">
        <v>3518.9596151641795</v>
      </c>
      <c r="T29" s="8">
        <v>5424.5702478399999</v>
      </c>
      <c r="U29" s="9">
        <f t="shared" si="13"/>
        <v>1905.6106326758204</v>
      </c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4"/>
      <c r="BB29" s="4"/>
      <c r="BC29" s="4"/>
    </row>
    <row r="30" spans="1:55" ht="16" x14ac:dyDescent="0.2">
      <c r="A30" s="27" t="s">
        <v>52</v>
      </c>
      <c r="B30" s="8">
        <v>19</v>
      </c>
      <c r="C30" s="8" t="s">
        <v>45</v>
      </c>
      <c r="D30" s="4" t="s">
        <v>23</v>
      </c>
      <c r="E30" s="24">
        <v>22.038401165196078</v>
      </c>
      <c r="F30" s="25">
        <v>61.2</v>
      </c>
      <c r="G30" s="25">
        <v>61.7</v>
      </c>
      <c r="H30" s="6">
        <f t="shared" si="11"/>
        <v>0.5</v>
      </c>
      <c r="I30" s="28">
        <v>3.11</v>
      </c>
      <c r="J30" s="28">
        <v>3.88</v>
      </c>
      <c r="K30" s="6">
        <f t="shared" si="12"/>
        <v>0.77</v>
      </c>
      <c r="L30" s="8">
        <v>139.29219600725952</v>
      </c>
      <c r="M30" s="8">
        <v>178.31215970961887</v>
      </c>
      <c r="N30" s="8">
        <f t="shared" si="15"/>
        <v>39.019963702359348</v>
      </c>
      <c r="O30" s="8">
        <v>267915.11</v>
      </c>
      <c r="P30" s="8">
        <v>5513.8229333333338</v>
      </c>
      <c r="Q30" s="8">
        <v>5536.7962568727271</v>
      </c>
      <c r="R30" s="9">
        <f t="shared" si="16"/>
        <v>22.973323539393277</v>
      </c>
      <c r="S30" s="8">
        <v>8521.1796720000002</v>
      </c>
      <c r="T30" s="8">
        <v>9092.6077368510632</v>
      </c>
      <c r="U30" s="9">
        <f t="shared" si="13"/>
        <v>571.42806485106303</v>
      </c>
      <c r="V30" s="7"/>
      <c r="W30" s="7"/>
      <c r="X30" s="7"/>
      <c r="Y30" s="7"/>
      <c r="Z30" s="7"/>
      <c r="AA30" s="7"/>
      <c r="AD30" s="7"/>
      <c r="AE30" s="7"/>
      <c r="AF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4"/>
      <c r="BB30" s="4"/>
      <c r="BC30" s="4"/>
    </row>
    <row r="31" spans="1:55" ht="16" x14ac:dyDescent="0.2">
      <c r="A31" s="27" t="s">
        <v>53</v>
      </c>
      <c r="B31" s="8">
        <v>20</v>
      </c>
      <c r="C31" s="8" t="s">
        <v>45</v>
      </c>
      <c r="D31" s="4" t="s">
        <v>23</v>
      </c>
      <c r="E31" s="24">
        <v>23.930893441340039</v>
      </c>
      <c r="F31" s="25">
        <v>59.7</v>
      </c>
      <c r="G31" s="25">
        <v>61.8</v>
      </c>
      <c r="H31" s="6">
        <f t="shared" si="11"/>
        <v>2.0999999999999943</v>
      </c>
      <c r="I31" s="28">
        <v>2.2200000000000002</v>
      </c>
      <c r="J31" s="28">
        <v>2.41</v>
      </c>
      <c r="K31" s="6">
        <f t="shared" si="12"/>
        <v>0.18999999999999995</v>
      </c>
      <c r="L31" s="8">
        <v>115.69872958257713</v>
      </c>
      <c r="M31" s="8">
        <v>147.45916515426495</v>
      </c>
      <c r="N31" s="8">
        <f t="shared" si="15"/>
        <v>31.760435571687822</v>
      </c>
      <c r="O31" s="8">
        <v>281749.13</v>
      </c>
      <c r="P31" s="8">
        <v>3851.421940487804</v>
      </c>
      <c r="Q31" s="8">
        <v>4778.2473730731717</v>
      </c>
      <c r="R31" s="9">
        <f t="shared" si="16"/>
        <v>926.82543258536771</v>
      </c>
      <c r="S31" s="8">
        <v>5194.1864113777765</v>
      </c>
      <c r="T31" s="8">
        <v>5840.273353939393</v>
      </c>
      <c r="U31" s="9">
        <f t="shared" si="13"/>
        <v>646.08694256161652</v>
      </c>
      <c r="V31" s="7"/>
      <c r="W31" s="7"/>
      <c r="X31" s="7"/>
      <c r="Y31" s="7"/>
      <c r="Z31" s="7"/>
      <c r="AA31" s="7"/>
      <c r="AD31" s="7"/>
      <c r="AE31" s="7"/>
      <c r="AF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4"/>
      <c r="BB31" s="4"/>
      <c r="BC31" s="4"/>
    </row>
    <row r="32" spans="1:55" ht="16" x14ac:dyDescent="0.2">
      <c r="A32" s="27" t="s">
        <v>54</v>
      </c>
      <c r="B32" s="8">
        <v>20</v>
      </c>
      <c r="C32" s="8" t="s">
        <v>45</v>
      </c>
      <c r="D32" s="4" t="s">
        <v>23</v>
      </c>
      <c r="E32" s="24">
        <v>26.643598613419115</v>
      </c>
      <c r="F32" s="25">
        <v>54.4</v>
      </c>
      <c r="G32" s="25">
        <v>56.7</v>
      </c>
      <c r="H32" s="6">
        <f t="shared" si="11"/>
        <v>2.3000000000000043</v>
      </c>
      <c r="I32" s="28">
        <v>2.34</v>
      </c>
      <c r="J32" s="28">
        <v>2.6</v>
      </c>
      <c r="K32" s="6">
        <f t="shared" si="12"/>
        <v>0.26000000000000023</v>
      </c>
      <c r="L32" s="8">
        <v>111.16152450090743</v>
      </c>
      <c r="M32" s="8">
        <v>161.07078039927404</v>
      </c>
      <c r="N32" s="8">
        <f t="shared" si="15"/>
        <v>49.909255898366609</v>
      </c>
      <c r="O32" s="8">
        <v>253228.17</v>
      </c>
      <c r="P32" s="8">
        <v>6632.3855519999979</v>
      </c>
      <c r="Q32" s="8">
        <v>6704.8368474181798</v>
      </c>
      <c r="R32" s="9">
        <f t="shared" si="16"/>
        <v>72.451295418181871</v>
      </c>
      <c r="S32" s="8">
        <v>7307.8012037142844</v>
      </c>
      <c r="T32" s="8">
        <v>6703.9699377230772</v>
      </c>
      <c r="U32" s="9">
        <f t="shared" si="13"/>
        <v>-603.83126599120715</v>
      </c>
    </row>
    <row r="33" spans="1:21" ht="16" x14ac:dyDescent="0.2">
      <c r="A33" s="27" t="s">
        <v>55</v>
      </c>
      <c r="B33" s="8">
        <v>21</v>
      </c>
      <c r="C33" s="8" t="s">
        <v>45</v>
      </c>
      <c r="D33" s="4" t="s">
        <v>23</v>
      </c>
      <c r="E33" s="24">
        <v>25.879923044697598</v>
      </c>
      <c r="F33" s="25">
        <v>62.5</v>
      </c>
      <c r="G33" s="25">
        <v>65.599999999999994</v>
      </c>
      <c r="H33" s="6">
        <f t="shared" si="11"/>
        <v>3.0999999999999943</v>
      </c>
      <c r="I33" s="28">
        <v>1.55</v>
      </c>
      <c r="J33" s="28">
        <v>2.16</v>
      </c>
      <c r="K33" s="6">
        <f t="shared" si="12"/>
        <v>0.6100000000000001</v>
      </c>
      <c r="L33" s="8">
        <v>97.549909255898356</v>
      </c>
      <c r="M33" s="8">
        <v>141.10707803992739</v>
      </c>
      <c r="N33" s="8">
        <f t="shared" si="15"/>
        <v>43.557168784029031</v>
      </c>
      <c r="O33" s="8">
        <v>203512.41</v>
      </c>
      <c r="P33" s="8">
        <v>4835.6382007999991</v>
      </c>
      <c r="Q33" s="8">
        <v>4939.0533573333332</v>
      </c>
      <c r="R33" s="9">
        <f t="shared" si="16"/>
        <v>103.41515653333408</v>
      </c>
      <c r="S33" s="8">
        <v>6220.8587047441843</v>
      </c>
      <c r="T33" s="8">
        <v>6454.5566815652182</v>
      </c>
      <c r="U33" s="9">
        <f t="shared" si="13"/>
        <v>233.69797682103399</v>
      </c>
    </row>
    <row r="34" spans="1:21" ht="16" x14ac:dyDescent="0.2">
      <c r="A34" s="27" t="s">
        <v>56</v>
      </c>
      <c r="B34" s="8">
        <v>26</v>
      </c>
      <c r="C34" s="8" t="s">
        <v>45</v>
      </c>
      <c r="D34" s="4" t="s">
        <v>23</v>
      </c>
      <c r="E34" s="24">
        <v>22.585829077886856</v>
      </c>
      <c r="F34" s="25">
        <v>60.1</v>
      </c>
      <c r="G34" s="25">
        <v>64.8</v>
      </c>
      <c r="H34" s="6">
        <f t="shared" si="11"/>
        <v>4.6999999999999957</v>
      </c>
      <c r="I34" s="28">
        <v>1.36</v>
      </c>
      <c r="J34" s="28">
        <v>1.88</v>
      </c>
      <c r="K34" s="6">
        <f t="shared" si="12"/>
        <v>0.5199999999999998</v>
      </c>
      <c r="L34" s="8">
        <v>97.549909255898356</v>
      </c>
      <c r="M34" s="8">
        <v>131.12522686025406</v>
      </c>
      <c r="N34" s="8">
        <f t="shared" si="15"/>
        <v>33.575317604355703</v>
      </c>
      <c r="O34" s="8">
        <v>195272.22</v>
      </c>
      <c r="P34" s="8">
        <v>2889.9943980000007</v>
      </c>
      <c r="Q34" s="8">
        <v>3520.1732479999996</v>
      </c>
      <c r="R34" s="9">
        <f t="shared" si="16"/>
        <v>630.17884999999887</v>
      </c>
      <c r="S34" s="8">
        <v>3677.1841585035977</v>
      </c>
      <c r="T34" s="8">
        <v>4841.109430999998</v>
      </c>
      <c r="U34" s="9">
        <f t="shared" si="13"/>
        <v>1163.9252724964003</v>
      </c>
    </row>
    <row r="35" spans="1:21" ht="16" x14ac:dyDescent="0.2">
      <c r="A35" s="27" t="s">
        <v>57</v>
      </c>
      <c r="B35" s="8">
        <v>20</v>
      </c>
      <c r="C35" s="8" t="s">
        <v>45</v>
      </c>
      <c r="D35" s="4" t="s">
        <v>23</v>
      </c>
      <c r="E35" s="24">
        <v>27.885714288771933</v>
      </c>
      <c r="F35" s="25">
        <v>57</v>
      </c>
      <c r="G35" s="25">
        <v>61.7</v>
      </c>
      <c r="H35" s="6">
        <f t="shared" si="11"/>
        <v>4.7000000000000028</v>
      </c>
      <c r="I35" s="28">
        <v>1.57</v>
      </c>
      <c r="J35" s="28">
        <v>2.39</v>
      </c>
      <c r="K35" s="6">
        <f t="shared" si="12"/>
        <v>0.82000000000000006</v>
      </c>
      <c r="L35" s="8">
        <v>139.29219600725952</v>
      </c>
      <c r="M35" s="8">
        <v>179.2196007259528</v>
      </c>
      <c r="N35" s="8">
        <f t="shared" si="15"/>
        <v>39.927404718693282</v>
      </c>
      <c r="O35" s="8">
        <v>280124.76</v>
      </c>
      <c r="P35" s="8">
        <v>3881.8838449230761</v>
      </c>
      <c r="Q35" s="8">
        <v>3720.7756034594595</v>
      </c>
      <c r="R35" s="9">
        <f t="shared" si="16"/>
        <v>-161.10824146361665</v>
      </c>
      <c r="S35" s="8">
        <v>4839.9505767619057</v>
      </c>
      <c r="T35" s="8">
        <v>5416.7234153846148</v>
      </c>
      <c r="U35" s="9">
        <f t="shared" si="13"/>
        <v>576.77283862270906</v>
      </c>
    </row>
    <row r="36" spans="1:21" ht="16" x14ac:dyDescent="0.2">
      <c r="A36" s="27" t="s">
        <v>58</v>
      </c>
      <c r="B36" s="8">
        <v>22</v>
      </c>
      <c r="C36" s="8" t="s">
        <v>45</v>
      </c>
      <c r="D36" s="4" t="s">
        <v>23</v>
      </c>
      <c r="E36" s="24">
        <v>23.289616006552386</v>
      </c>
      <c r="F36" s="25">
        <v>52.5</v>
      </c>
      <c r="G36" s="25">
        <v>53.3</v>
      </c>
      <c r="H36" s="6">
        <f t="shared" si="11"/>
        <v>0.79999999999999716</v>
      </c>
      <c r="I36" s="28">
        <v>1.69</v>
      </c>
      <c r="J36" s="28">
        <v>2.12</v>
      </c>
      <c r="K36" s="6">
        <f t="shared" si="12"/>
        <v>0.43000000000000016</v>
      </c>
      <c r="L36" s="8">
        <v>74.8638838475499</v>
      </c>
      <c r="M36" s="8">
        <v>117.05989110707803</v>
      </c>
      <c r="N36" s="8">
        <f t="shared" si="15"/>
        <v>42.19600725952813</v>
      </c>
      <c r="O36" s="8">
        <v>158570.78</v>
      </c>
      <c r="P36" s="8">
        <v>4327.0394430638289</v>
      </c>
      <c r="Q36" s="8">
        <v>4840.9761863529402</v>
      </c>
      <c r="R36" s="9">
        <f t="shared" si="16"/>
        <v>513.93674328911129</v>
      </c>
      <c r="S36" s="8">
        <v>5292.9295808316838</v>
      </c>
      <c r="T36" s="8">
        <v>5152.8448002689083</v>
      </c>
      <c r="U36" s="9">
        <f t="shared" si="13"/>
        <v>-140.08478056277545</v>
      </c>
    </row>
    <row r="37" spans="1:21" x14ac:dyDescent="0.2">
      <c r="A37" s="4" t="s">
        <v>59</v>
      </c>
      <c r="B37" s="4">
        <v>19</v>
      </c>
      <c r="C37" s="4" t="s">
        <v>60</v>
      </c>
      <c r="D37" s="4" t="s">
        <v>23</v>
      </c>
      <c r="E37" s="5">
        <v>27.590126870607715</v>
      </c>
      <c r="F37" s="5">
        <v>59.39</v>
      </c>
      <c r="G37" s="5">
        <v>67.650000000000006</v>
      </c>
      <c r="H37" s="26">
        <v>8.2600000000000051</v>
      </c>
      <c r="I37" s="4">
        <v>2.92</v>
      </c>
      <c r="J37" s="4">
        <v>3.05</v>
      </c>
      <c r="K37" s="26">
        <v>0.12999999999999989</v>
      </c>
      <c r="L37" s="8">
        <v>102.08711433756805</v>
      </c>
      <c r="M37" s="8">
        <v>148.82032667876587</v>
      </c>
      <c r="N37" s="8">
        <v>46.733212341197813</v>
      </c>
      <c r="O37" s="8">
        <v>243874.77</v>
      </c>
      <c r="P37" s="11"/>
      <c r="Q37" s="11"/>
      <c r="R37" s="12"/>
      <c r="S37" s="11"/>
      <c r="T37" s="11"/>
      <c r="U37" s="12"/>
    </row>
    <row r="38" spans="1:21" x14ac:dyDescent="0.2">
      <c r="A38" s="4" t="s">
        <v>61</v>
      </c>
      <c r="B38" s="4">
        <v>24</v>
      </c>
      <c r="C38" s="4" t="s">
        <v>62</v>
      </c>
      <c r="D38" s="4" t="s">
        <v>23</v>
      </c>
      <c r="E38" s="5">
        <v>24.314639704072629</v>
      </c>
      <c r="F38" s="5">
        <v>47.01</v>
      </c>
      <c r="G38" s="5">
        <v>50.09</v>
      </c>
      <c r="H38" s="26">
        <v>3.0800000000000054</v>
      </c>
      <c r="I38" s="4">
        <v>2.3199999999999998</v>
      </c>
      <c r="J38" s="4">
        <v>2.52</v>
      </c>
      <c r="K38" s="26">
        <v>0.20000000000000018</v>
      </c>
      <c r="L38" s="8">
        <v>59.891107078039923</v>
      </c>
      <c r="M38" s="8">
        <v>73.049001814882033</v>
      </c>
      <c r="N38" s="8">
        <v>13.15789473684211</v>
      </c>
      <c r="O38" s="8">
        <v>145642.01</v>
      </c>
      <c r="P38" s="11"/>
      <c r="Q38" s="11"/>
      <c r="R38" s="12"/>
      <c r="S38" s="11"/>
      <c r="T38" s="11"/>
      <c r="U38" s="12"/>
    </row>
    <row r="39" spans="1:21" x14ac:dyDescent="0.2">
      <c r="A39" s="4" t="s">
        <v>63</v>
      </c>
      <c r="B39" s="4">
        <v>19</v>
      </c>
      <c r="C39" s="4" t="s">
        <v>62</v>
      </c>
      <c r="D39" s="4" t="s">
        <v>23</v>
      </c>
      <c r="E39" s="5">
        <v>27.581732517694654</v>
      </c>
      <c r="F39" s="4">
        <v>65.08</v>
      </c>
      <c r="G39" s="4">
        <v>67.900000000000006</v>
      </c>
      <c r="H39" s="26">
        <v>2.8200000000000074</v>
      </c>
      <c r="I39" s="4">
        <v>2.89</v>
      </c>
      <c r="J39" s="4">
        <v>3.02</v>
      </c>
      <c r="K39" s="26">
        <v>0.12999999999999989</v>
      </c>
      <c r="L39" s="8">
        <v>114.79128856624318</v>
      </c>
      <c r="M39" s="8">
        <v>143.37568058076224</v>
      </c>
      <c r="N39" s="8">
        <v>28.584392014519054</v>
      </c>
      <c r="O39" s="8">
        <v>233346.19</v>
      </c>
      <c r="P39" s="11"/>
      <c r="Q39" s="11"/>
      <c r="R39" s="12"/>
      <c r="S39" s="11"/>
      <c r="T39" s="11"/>
      <c r="U39" s="12"/>
    </row>
    <row r="40" spans="1:21" x14ac:dyDescent="0.2">
      <c r="A40" s="13" t="s">
        <v>40</v>
      </c>
      <c r="B40" s="14">
        <f>AVERAGE(B23:B39)</f>
        <v>21.941176470588236</v>
      </c>
      <c r="C40" s="14"/>
      <c r="D40" s="13"/>
      <c r="E40" s="15">
        <f t="shared" ref="E40:U40" si="17">AVERAGE(E23:E39)</f>
        <v>24.495955311587981</v>
      </c>
      <c r="F40" s="15">
        <f t="shared" si="17"/>
        <v>56.563529411764705</v>
      </c>
      <c r="G40" s="15">
        <f t="shared" si="17"/>
        <v>59.296470588235294</v>
      </c>
      <c r="H40" s="18">
        <f t="shared" si="17"/>
        <v>2.7329411764705882</v>
      </c>
      <c r="I40" s="17">
        <f t="shared" si="17"/>
        <v>2.0835294117647059</v>
      </c>
      <c r="J40" s="17">
        <f t="shared" si="17"/>
        <v>2.571764705882353</v>
      </c>
      <c r="K40" s="18">
        <f t="shared" si="17"/>
        <v>0.4882352941176471</v>
      </c>
      <c r="L40" s="14">
        <f t="shared" si="17"/>
        <v>100.27223230490017</v>
      </c>
      <c r="M40" s="14">
        <f t="shared" si="17"/>
        <v>134.9151275755311</v>
      </c>
      <c r="N40" s="14">
        <f t="shared" si="17"/>
        <v>34.64289527063093</v>
      </c>
      <c r="O40" s="19">
        <f t="shared" si="17"/>
        <v>217658.10294117645</v>
      </c>
      <c r="P40" s="14">
        <f t="shared" si="17"/>
        <v>4510.0102290012346</v>
      </c>
      <c r="Q40" s="14">
        <f t="shared" si="17"/>
        <v>5084.4773260382653</v>
      </c>
      <c r="R40" s="20">
        <f t="shared" si="17"/>
        <v>574.46709703703232</v>
      </c>
      <c r="S40" s="14">
        <f t="shared" si="17"/>
        <v>5422.21892702677</v>
      </c>
      <c r="T40" s="14">
        <f t="shared" si="17"/>
        <v>6560.035136428326</v>
      </c>
      <c r="U40" s="20">
        <f t="shared" si="17"/>
        <v>1137.8162094015531</v>
      </c>
    </row>
    <row r="41" spans="1:21" x14ac:dyDescent="0.2">
      <c r="A41" s="13" t="s">
        <v>41</v>
      </c>
      <c r="B41" s="14">
        <f>STDEV(B23:B39)</f>
        <v>2.5117371537268323</v>
      </c>
      <c r="C41" s="14"/>
      <c r="D41" s="13"/>
      <c r="E41" s="15">
        <f t="shared" ref="E41:U41" si="18">STDEV(E23:E39)</f>
        <v>2.8439243693167682</v>
      </c>
      <c r="F41" s="15">
        <f t="shared" si="18"/>
        <v>5.7390656264505191</v>
      </c>
      <c r="G41" s="15">
        <f t="shared" si="18"/>
        <v>6.4323712007863927</v>
      </c>
      <c r="H41" s="32">
        <f t="shared" si="18"/>
        <v>1.9758535013567</v>
      </c>
      <c r="I41" s="17">
        <f t="shared" si="18"/>
        <v>0.59603839197310216</v>
      </c>
      <c r="J41" s="17">
        <f t="shared" si="18"/>
        <v>0.46714873560405962</v>
      </c>
      <c r="K41" s="32">
        <f t="shared" si="18"/>
        <v>0.29075838969231904</v>
      </c>
      <c r="L41" s="14">
        <f t="shared" si="18"/>
        <v>22.041665701435814</v>
      </c>
      <c r="M41" s="14">
        <f t="shared" si="18"/>
        <v>27.04919280918163</v>
      </c>
      <c r="N41" s="14">
        <f t="shared" si="18"/>
        <v>9.6714615573941547</v>
      </c>
      <c r="O41" s="19">
        <f t="shared" si="18"/>
        <v>42922.505368250422</v>
      </c>
      <c r="P41" s="14">
        <f t="shared" si="18"/>
        <v>1110.1541833246838</v>
      </c>
      <c r="Q41" s="14">
        <f t="shared" si="18"/>
        <v>1249.5738966293136</v>
      </c>
      <c r="R41" s="20">
        <f t="shared" si="18"/>
        <v>830.88255494977591</v>
      </c>
      <c r="S41" s="14">
        <f t="shared" si="18"/>
        <v>1609.0665829485235</v>
      </c>
      <c r="T41" s="14">
        <f t="shared" si="18"/>
        <v>1658.9744285361044</v>
      </c>
      <c r="U41" s="20">
        <f t="shared" si="18"/>
        <v>1118.0445288382987</v>
      </c>
    </row>
    <row r="42" spans="1:21" x14ac:dyDescent="0.2">
      <c r="A42" s="13" t="s">
        <v>42</v>
      </c>
      <c r="B42" s="14">
        <f>COUNT(B23:B39)</f>
        <v>17</v>
      </c>
      <c r="E42" s="15"/>
      <c r="F42" s="15"/>
      <c r="G42" s="15"/>
      <c r="H42" s="17"/>
      <c r="I42" s="17"/>
      <c r="J42" s="17"/>
      <c r="K42" s="17"/>
      <c r="L42" s="14">
        <f>COUNT(L23:L39)</f>
        <v>17</v>
      </c>
      <c r="M42" s="14">
        <f t="shared" ref="M42:U42" si="19">COUNT(M23:M39)</f>
        <v>17</v>
      </c>
      <c r="N42" s="14">
        <f t="shared" si="19"/>
        <v>17</v>
      </c>
      <c r="O42" s="14">
        <f t="shared" si="19"/>
        <v>17</v>
      </c>
      <c r="P42" s="14">
        <f t="shared" si="19"/>
        <v>13</v>
      </c>
      <c r="Q42" s="14">
        <f t="shared" si="19"/>
        <v>13</v>
      </c>
      <c r="R42" s="33">
        <f t="shared" si="19"/>
        <v>13</v>
      </c>
      <c r="S42" s="14">
        <f t="shared" si="19"/>
        <v>13</v>
      </c>
      <c r="T42" s="14">
        <f t="shared" si="19"/>
        <v>13</v>
      </c>
      <c r="U42" s="33">
        <f t="shared" si="19"/>
        <v>13</v>
      </c>
    </row>
    <row r="43" spans="1:21" x14ac:dyDescent="0.2">
      <c r="O43" s="4"/>
    </row>
    <row r="44" spans="1:21" x14ac:dyDescent="0.2">
      <c r="A44" s="11"/>
      <c r="B44" s="10" t="s">
        <v>64</v>
      </c>
      <c r="C44" s="30"/>
      <c r="D44" s="30"/>
      <c r="E44" s="13"/>
      <c r="F44" s="13"/>
      <c r="G44" s="13"/>
      <c r="H44" s="13"/>
      <c r="I44" s="13"/>
      <c r="J44" s="13"/>
      <c r="K44" s="13"/>
      <c r="L44" s="13"/>
      <c r="M44" s="13"/>
    </row>
    <row r="45" spans="1:21" x14ac:dyDescent="0.2">
      <c r="A45" s="27"/>
      <c r="B45" s="28"/>
      <c r="C45" s="28"/>
      <c r="D45" s="28"/>
      <c r="G45" s="7"/>
      <c r="H45" s="7"/>
      <c r="I45" s="5"/>
      <c r="J45" s="5"/>
      <c r="M45" s="8"/>
    </row>
    <row r="46" spans="1:21" x14ac:dyDescent="0.2">
      <c r="A46" s="27"/>
      <c r="B46" s="28"/>
      <c r="C46" s="28"/>
      <c r="D46" s="28"/>
      <c r="G46" s="7"/>
      <c r="H46" s="7"/>
      <c r="I46" s="5"/>
      <c r="J46" s="5"/>
      <c r="M46" s="8"/>
      <c r="N46" s="13"/>
      <c r="O46" s="13"/>
    </row>
    <row r="47" spans="1:21" x14ac:dyDescent="0.2">
      <c r="A47" s="27"/>
      <c r="B47" s="28"/>
      <c r="C47" s="28"/>
      <c r="D47" s="28"/>
      <c r="G47" s="7"/>
      <c r="H47" s="7"/>
      <c r="I47" s="5"/>
      <c r="J47" s="5"/>
      <c r="M47" s="8"/>
      <c r="N47" s="4"/>
      <c r="O47" s="4"/>
    </row>
    <row r="48" spans="1:21" x14ac:dyDescent="0.2">
      <c r="A48" s="27"/>
      <c r="B48" s="28"/>
      <c r="C48" s="28"/>
      <c r="D48" s="28"/>
      <c r="G48" s="7"/>
      <c r="H48" s="7"/>
      <c r="I48" s="5"/>
      <c r="J48" s="5"/>
      <c r="M48" s="8"/>
      <c r="N48" s="4"/>
      <c r="O48" s="4"/>
    </row>
    <row r="49" spans="1:18" x14ac:dyDescent="0.2">
      <c r="A49" s="27"/>
      <c r="B49" s="28"/>
      <c r="C49" s="28"/>
      <c r="D49" s="28"/>
      <c r="H49" s="7"/>
      <c r="I49" s="4"/>
      <c r="J49" s="4"/>
      <c r="L49" s="7"/>
      <c r="N49" s="4"/>
      <c r="O49" s="4"/>
    </row>
    <row r="50" spans="1:18" x14ac:dyDescent="0.2">
      <c r="A50" s="27"/>
      <c r="B50" s="28"/>
      <c r="C50" s="28"/>
      <c r="D50" s="28"/>
      <c r="H50" s="7"/>
      <c r="I50" s="4"/>
      <c r="J50" s="4"/>
      <c r="L50" s="7"/>
      <c r="N50" s="4"/>
      <c r="O50" s="4"/>
    </row>
    <row r="51" spans="1:18" x14ac:dyDescent="0.2">
      <c r="A51" s="27"/>
      <c r="B51" s="28"/>
      <c r="C51" s="28"/>
      <c r="D51" s="28"/>
      <c r="F51" s="24"/>
      <c r="G51" s="28"/>
      <c r="H51" s="28"/>
      <c r="I51" s="8"/>
    </row>
    <row r="52" spans="1:18" x14ac:dyDescent="0.2">
      <c r="A52" s="27"/>
      <c r="B52" s="28"/>
      <c r="C52" s="28"/>
      <c r="D52" s="28"/>
      <c r="F52" s="24"/>
      <c r="G52" s="28"/>
      <c r="H52" s="28"/>
      <c r="I52" s="8"/>
      <c r="J52" s="8"/>
      <c r="K52" s="8"/>
      <c r="L52" s="8"/>
      <c r="M52" s="8"/>
      <c r="N52" s="8"/>
      <c r="O52" s="8"/>
      <c r="P52" s="34"/>
      <c r="Q52" s="34"/>
      <c r="R52" s="34"/>
    </row>
    <row r="53" spans="1:18" x14ac:dyDescent="0.2">
      <c r="A53" s="27"/>
      <c r="B53" s="28"/>
      <c r="C53" s="28"/>
      <c r="D53" s="28"/>
      <c r="F53" s="24"/>
      <c r="G53" s="28"/>
      <c r="H53" s="28"/>
      <c r="I53" s="8"/>
      <c r="J53" s="8"/>
      <c r="K53" s="8"/>
      <c r="L53" s="8"/>
      <c r="M53" s="8"/>
      <c r="N53" s="8"/>
      <c r="O53" s="8"/>
      <c r="P53" s="34"/>
      <c r="Q53" s="34"/>
      <c r="R53" s="34"/>
    </row>
    <row r="54" spans="1:18" x14ac:dyDescent="0.2">
      <c r="A54" s="27"/>
      <c r="B54" s="28"/>
      <c r="C54" s="28"/>
      <c r="D54" s="28"/>
      <c r="F54" s="24"/>
      <c r="G54" s="28"/>
      <c r="H54" s="28"/>
      <c r="I54" s="8"/>
      <c r="J54" s="8"/>
      <c r="K54" s="8"/>
      <c r="L54" s="8"/>
      <c r="M54" s="8"/>
      <c r="N54" s="8"/>
      <c r="O54" s="8"/>
      <c r="P54" s="34"/>
      <c r="Q54" s="34"/>
      <c r="R54" s="34"/>
    </row>
    <row r="55" spans="1:18" x14ac:dyDescent="0.2">
      <c r="A55" s="27"/>
      <c r="B55" s="28"/>
      <c r="C55" s="28"/>
      <c r="D55" s="28"/>
      <c r="F55" s="24"/>
      <c r="G55" s="28"/>
      <c r="H55" s="28"/>
      <c r="I55" s="8"/>
      <c r="J55" s="8"/>
      <c r="K55" s="8"/>
      <c r="L55" s="8"/>
      <c r="M55" s="8"/>
      <c r="N55" s="8"/>
      <c r="O55" s="8"/>
      <c r="P55" s="34"/>
      <c r="Q55" s="34"/>
      <c r="R55" s="34"/>
    </row>
    <row r="56" spans="1:18" x14ac:dyDescent="0.2">
      <c r="A56" s="27"/>
      <c r="B56" s="28"/>
      <c r="C56" s="28"/>
      <c r="D56" s="28"/>
      <c r="F56" s="24"/>
      <c r="G56" s="28"/>
      <c r="H56" s="28"/>
      <c r="I56" s="8"/>
      <c r="J56" s="8"/>
      <c r="K56" s="8"/>
      <c r="L56" s="8"/>
      <c r="M56" s="8"/>
      <c r="N56" s="8"/>
      <c r="O56" s="8"/>
      <c r="P56" s="34"/>
      <c r="Q56" s="34"/>
      <c r="R56" s="34"/>
    </row>
    <row r="57" spans="1:18" x14ac:dyDescent="0.2">
      <c r="A57" s="27"/>
      <c r="B57" s="28"/>
      <c r="C57" s="28"/>
      <c r="D57" s="28"/>
      <c r="F57" s="24"/>
      <c r="G57" s="28"/>
      <c r="H57" s="28"/>
      <c r="I57" s="8"/>
      <c r="J57" s="8"/>
      <c r="K57" s="8"/>
      <c r="L57" s="8"/>
      <c r="M57" s="8"/>
      <c r="N57" s="8"/>
      <c r="O57" s="8"/>
      <c r="P57" s="34"/>
      <c r="Q57" s="34"/>
      <c r="R57" s="34"/>
    </row>
    <row r="58" spans="1:18" x14ac:dyDescent="0.2">
      <c r="A58" s="27"/>
      <c r="B58" s="28"/>
      <c r="C58" s="28"/>
      <c r="D58" s="28"/>
      <c r="F58" s="24"/>
      <c r="G58" s="28"/>
      <c r="H58" s="28"/>
      <c r="I58" s="8"/>
      <c r="J58" s="8"/>
      <c r="K58" s="8"/>
      <c r="L58" s="8"/>
      <c r="M58" s="8"/>
      <c r="N58" s="8"/>
      <c r="O58" s="8"/>
      <c r="P58" s="34"/>
      <c r="Q58" s="34"/>
      <c r="R58" s="34"/>
    </row>
    <row r="59" spans="1:18" x14ac:dyDescent="0.2">
      <c r="A59" s="27"/>
      <c r="B59" s="28"/>
      <c r="C59" s="28"/>
      <c r="D59" s="28"/>
      <c r="F59" s="24"/>
    </row>
    <row r="60" spans="1:18" x14ac:dyDescent="0.2">
      <c r="A60" s="27"/>
      <c r="B60" s="28"/>
      <c r="C60" s="28"/>
      <c r="D60" s="28"/>
      <c r="F60" s="24"/>
    </row>
    <row r="61" spans="1:18" x14ac:dyDescent="0.2">
      <c r="A61" s="27"/>
      <c r="B61" s="28"/>
      <c r="C61" s="28"/>
      <c r="D61" s="28"/>
      <c r="F61" s="24"/>
    </row>
    <row r="62" spans="1:18" x14ac:dyDescent="0.2">
      <c r="A62" s="27"/>
      <c r="B62" s="28"/>
      <c r="C62" s="28"/>
      <c r="D62" s="28"/>
      <c r="F62" s="24"/>
    </row>
    <row r="63" spans="1:18" x14ac:dyDescent="0.2">
      <c r="A63" s="27"/>
      <c r="B63" s="28"/>
      <c r="C63" s="28"/>
      <c r="D63" s="28"/>
      <c r="F63" s="24"/>
    </row>
    <row r="64" spans="1:18" x14ac:dyDescent="0.2">
      <c r="A64" s="27"/>
      <c r="B64" s="28"/>
      <c r="C64" s="28"/>
      <c r="D64" s="28"/>
      <c r="F64" s="24"/>
    </row>
    <row r="65" spans="1:6" x14ac:dyDescent="0.2">
      <c r="A65" s="27"/>
      <c r="B65" s="28"/>
      <c r="C65" s="28"/>
      <c r="D65" s="28"/>
      <c r="F65" s="24"/>
    </row>
    <row r="66" spans="1:6" x14ac:dyDescent="0.2">
      <c r="A66" s="27"/>
      <c r="B66" s="28"/>
      <c r="C66" s="28"/>
      <c r="D66" s="28"/>
    </row>
    <row r="67" spans="1:6" x14ac:dyDescent="0.2">
      <c r="A67" s="27"/>
      <c r="B67" s="28"/>
      <c r="C67" s="28"/>
      <c r="D67" s="28"/>
    </row>
    <row r="68" spans="1:6" x14ac:dyDescent="0.2">
      <c r="A68" s="27"/>
      <c r="B68" s="28"/>
      <c r="C68" s="28"/>
      <c r="D68" s="28"/>
      <c r="F68" s="24"/>
    </row>
    <row r="69" spans="1:6" x14ac:dyDescent="0.2">
      <c r="A69" s="27"/>
      <c r="B69" s="28"/>
      <c r="C69" s="28"/>
      <c r="D69" s="28"/>
      <c r="F69" s="24"/>
    </row>
    <row r="70" spans="1:6" x14ac:dyDescent="0.2">
      <c r="A70" s="27"/>
      <c r="B70" s="28"/>
      <c r="C70" s="28"/>
      <c r="D70" s="28"/>
      <c r="F70" s="24"/>
    </row>
    <row r="71" spans="1:6" x14ac:dyDescent="0.2">
      <c r="A71" s="27"/>
      <c r="B71" s="28"/>
      <c r="C71" s="28"/>
      <c r="D71" s="28"/>
      <c r="F71" s="2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Phenotype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Dustyn Lewis</dc:creator>
  <cp:lastModifiedBy>Dustyn Lewis</cp:lastModifiedBy>
  <dcterms:created xsi:type="dcterms:W3CDTF">2026-02-24T20:46:51Z</dcterms:created>
  <dcterms:modified xsi:type="dcterms:W3CDTF">2026-02-24T20:47:25Z</dcterms:modified>
</cp:coreProperties>
</file>